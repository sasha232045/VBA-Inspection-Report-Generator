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.vscode\GitHubRepository\VBA-Inspection-Report-Generator-1\dist\"/>
    </mc:Choice>
  </mc:AlternateContent>
  <xr:revisionPtr revIDLastSave="0" documentId="13_ncr:1_{FEE2F0F7-62BF-49C1-BA7A-295ACFB31262}" xr6:coauthVersionLast="47" xr6:coauthVersionMax="47" xr10:uidLastSave="{00000000-0000-0000-0000-000000000000}"/>
  <bookViews>
    <workbookView xWindow="240" yWindow="3420" windowWidth="21600" windowHeight="11295" xr2:uid="{B4616420-FE15-4046-8DAF-AC01F28268DB}"/>
  </bookViews>
  <sheets>
    <sheet name="Settings" sheetId="1" r:id="rId1"/>
    <sheet name="List" sheetId="2" r:id="rId2"/>
    <sheet name="管内List" sheetId="3" r:id="rId3"/>
    <sheet name="DebugLog" sheetId="4" r:id="rId4"/>
    <sheet name="ErrorLog" sheetId="5" r:id="rId5"/>
    <sheet name="Log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1" l="1"/>
  <c r="D57" i="1"/>
  <c r="D21" i="1"/>
  <c r="D17" i="1"/>
  <c r="D18" i="1" s="1"/>
  <c r="D20" i="1" l="1"/>
  <c r="D19" i="1"/>
</calcChain>
</file>

<file path=xl/sharedStrings.xml><?xml version="1.0" encoding="utf-8"?>
<sst xmlns="http://schemas.openxmlformats.org/spreadsheetml/2006/main" count="161" uniqueCount="96">
  <si>
    <t>処理ステータス</t>
    <rPh sb="0" eb="2">
      <t>ショリ</t>
    </rPh>
    <phoneticPr fontId="2"/>
  </si>
  <si>
    <t>ステップ1：処理対象の設定</t>
  </si>
  <si>
    <t>処理対象</t>
    <rPh sb="0" eb="2">
      <t>ショリ</t>
    </rPh>
    <rPh sb="2" eb="4">
      <t>タイショウ</t>
    </rPh>
    <phoneticPr fontId="2"/>
  </si>
  <si>
    <t>旧ブック_ファイルパス</t>
    <phoneticPr fontId="2"/>
  </si>
  <si>
    <t>C:\Users\User\.vscode\GitHubRepository\VBA-Inspection-Report-Generator-1\dist\_input.xlsm\13042771神戸港変電所-6TrBRy-2013.05.02.xls</t>
    <phoneticPr fontId="2"/>
  </si>
  <si>
    <t>凡例：オレンジ色=入力箇所</t>
    <rPh sb="7" eb="8">
      <t>イロ</t>
    </rPh>
    <phoneticPr fontId="2"/>
  </si>
  <si>
    <t>判定場所</t>
    <rPh sb="0" eb="2">
      <t>ハンテイ</t>
    </rPh>
    <rPh sb="2" eb="4">
      <t>バショ</t>
    </rPh>
    <phoneticPr fontId="2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</si>
  <si>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2"/>
  </si>
  <si>
    <t>'T87'!T7</t>
    <phoneticPr fontId="2"/>
  </si>
  <si>
    <t>保存先</t>
    <rPh sb="0" eb="3">
      <t>ホゾンサキ</t>
    </rPh>
    <phoneticPr fontId="2"/>
  </si>
  <si>
    <t>出力ブック_保存先フォルダパス</t>
    <rPh sb="0" eb="2">
      <t>シュツリョク</t>
    </rPh>
    <phoneticPr fontId="2"/>
  </si>
  <si>
    <t>C:\Users\User\.vscode\GitHubRepository\VBA-Inspection-Report-Generator-1\dist</t>
    <phoneticPr fontId="2"/>
  </si>
  <si>
    <t>↓</t>
    <phoneticPr fontId="2"/>
  </si>
  <si>
    <t>ステップ2：設定内容の自動確認</t>
  </si>
  <si>
    <t>判断結果</t>
    <rPh sb="0" eb="2">
      <t>ハンダン</t>
    </rPh>
    <rPh sb="2" eb="4">
      <t>ケッカ</t>
    </rPh>
    <phoneticPr fontId="2"/>
  </si>
  <si>
    <t>旧ブック_ファイル名</t>
    <rPh sb="9" eb="10">
      <t>メイ</t>
    </rPh>
    <phoneticPr fontId="2"/>
  </si>
  <si>
    <t>凡例：薄いグレー=自動表示</t>
    <phoneticPr fontId="2"/>
  </si>
  <si>
    <t>単価契約明細ＮＯ</t>
    <phoneticPr fontId="2"/>
  </si>
  <si>
    <t>変電所-</t>
    <rPh sb="0" eb="3">
      <t>ヘンデンショ</t>
    </rPh>
    <phoneticPr fontId="2"/>
  </si>
  <si>
    <t>TrB Ry-</t>
    <phoneticPr fontId="2"/>
  </si>
  <si>
    <t>日付</t>
    <rPh sb="0" eb="2">
      <t>ヒヅケ</t>
    </rPh>
    <phoneticPr fontId="2"/>
  </si>
  <si>
    <t>型式</t>
    <rPh sb="0" eb="2">
      <t>カタシキ</t>
    </rPh>
    <phoneticPr fontId="2"/>
  </si>
  <si>
    <t>SYT-L-4E1</t>
    <phoneticPr fontId="2"/>
  </si>
  <si>
    <t>←マクロでD4のファイルのD5アドレスを参照して判断する</t>
    <rPh sb="20" eb="22">
      <t>サンショウ</t>
    </rPh>
    <rPh sb="24" eb="26">
      <t>ハンダン</t>
    </rPh>
    <phoneticPr fontId="2"/>
  </si>
  <si>
    <t>種類</t>
    <rPh sb="0" eb="2">
      <t>シュルイ</t>
    </rPh>
    <phoneticPr fontId="2"/>
  </si>
  <si>
    <t>日立自立盤変電所-456TrB</t>
    <phoneticPr fontId="2"/>
  </si>
  <si>
    <t>←ListシートからXLOOKUP関数</t>
    <rPh sb="17" eb="19">
      <t>カンスウ</t>
    </rPh>
    <phoneticPr fontId="2"/>
  </si>
  <si>
    <t>新ブック_ファイルパス</t>
    <rPh sb="0" eb="1">
      <t>シン</t>
    </rPh>
    <phoneticPr fontId="2"/>
  </si>
  <si>
    <t>C:\Users\User\.vscode\GitHubRepository\VBA-Inspection-Report-Generator-1\dist\_Template.xlsm\日立自立盤変電所-456TrB Ry-2025.99.99（データ入力中）.xls</t>
    <phoneticPr fontId="2"/>
  </si>
  <si>
    <t>本部</t>
    <rPh sb="0" eb="2">
      <t>ホンブ</t>
    </rPh>
    <phoneticPr fontId="2"/>
  </si>
  <si>
    <t>大阪南</t>
    <rPh sb="0" eb="1">
      <t>オオサカ</t>
    </rPh>
    <rPh sb="1" eb="2">
      <t>ミナミ</t>
    </rPh>
    <phoneticPr fontId="2"/>
  </si>
  <si>
    <t>←管内ListシートからXLOOKUP関数</t>
    <rPh sb="1" eb="7">
      <t>カンナイ</t>
    </rPh>
    <rPh sb="19" eb="21">
      <t>カンスウ</t>
    </rPh>
    <phoneticPr fontId="2"/>
  </si>
  <si>
    <t>管内</t>
    <rPh sb="0" eb="2">
      <t>カンナイ</t>
    </rPh>
    <phoneticPr fontId="2"/>
  </si>
  <si>
    <t>南大阪</t>
    <rPh sb="0" eb="1">
      <t>ミナミオオサカ</t>
    </rPh>
    <phoneticPr fontId="2"/>
  </si>
  <si>
    <t>ステップ3：処理内容の定義</t>
  </si>
  <si>
    <t>シートNo</t>
    <phoneticPr fontId="2"/>
  </si>
  <si>
    <t>処理種類.</t>
    <rPh sb="0" eb="2">
      <t>ショリ</t>
    </rPh>
    <rPh sb="2" eb="4">
      <t>シュルイ</t>
    </rPh>
    <phoneticPr fontId="2"/>
  </si>
  <si>
    <t>処理内容</t>
    <rPh sb="0" eb="3">
      <t>ショリナイヨウ</t>
    </rPh>
    <phoneticPr fontId="2"/>
  </si>
  <si>
    <t>内容</t>
    <rPh sb="0" eb="2">
      <t>ナイヨウ</t>
    </rPh>
    <phoneticPr fontId="2"/>
  </si>
  <si>
    <t>旧ブック_シート名</t>
    <rPh sb="0" eb="1">
      <t>キュウ</t>
    </rPh>
    <phoneticPr fontId="2"/>
  </si>
  <si>
    <t>統一表紙</t>
    <phoneticPr fontId="2"/>
  </si>
  <si>
    <t>新ブック_シート名</t>
    <rPh sb="0" eb="1">
      <t>シン</t>
    </rPh>
    <phoneticPr fontId="2"/>
  </si>
  <si>
    <t>共通(77kV以下)</t>
    <phoneticPr fontId="2"/>
  </si>
  <si>
    <t>旧ブック_コピー元アドレス</t>
    <rPh sb="0" eb="1">
      <t>キュウ</t>
    </rPh>
    <rPh sb="8" eb="9">
      <t>モト</t>
    </rPh>
    <phoneticPr fontId="2"/>
  </si>
  <si>
    <t>A4:CH62</t>
    <phoneticPr fontId="2"/>
  </si>
  <si>
    <t>新ブック_コピー先アドレス</t>
    <rPh sb="0" eb="1">
      <t>シン</t>
    </rPh>
    <rPh sb="8" eb="9">
      <t>サキ</t>
    </rPh>
    <phoneticPr fontId="2"/>
  </si>
  <si>
    <t>A4</t>
    <phoneticPr fontId="2"/>
  </si>
  <si>
    <t>新ブック_削除するアドレス</t>
    <phoneticPr fontId="2"/>
  </si>
  <si>
    <t>BO22,BO23,BO24,BJ25,AF30:AF41,BB61,BG61,BG62,BL61,BL62,BQ61:CA61</t>
    <phoneticPr fontId="2"/>
  </si>
  <si>
    <t>新ブック_入力するアドレス</t>
    <rPh sb="5" eb="7">
      <t>ニュウリョク</t>
    </rPh>
    <phoneticPr fontId="2"/>
  </si>
  <si>
    <t>P14,AH14</t>
    <phoneticPr fontId="2"/>
  </si>
  <si>
    <t>新ブック_入力する内容</t>
    <rPh sb="5" eb="7">
      <t>ニュウリョク</t>
    </rPh>
    <rPh sb="9" eb="11">
      <t>ナイヨウ</t>
    </rPh>
    <phoneticPr fontId="2"/>
  </si>
  <si>
    <t>T87</t>
    <phoneticPr fontId="2"/>
  </si>
  <si>
    <t>A5:CH10</t>
    <phoneticPr fontId="2"/>
  </si>
  <si>
    <t>51</t>
    <phoneticPr fontId="2"/>
  </si>
  <si>
    <t>A45:CH49</t>
    <phoneticPr fontId="2"/>
  </si>
  <si>
    <t>84</t>
    <phoneticPr fontId="2"/>
  </si>
  <si>
    <t>ﾀｲﾏｰ</t>
    <phoneticPr fontId="2"/>
  </si>
  <si>
    <t>A5:CH67</t>
    <phoneticPr fontId="2"/>
  </si>
  <si>
    <t>AY11:CH12</t>
    <phoneticPr fontId="2"/>
  </si>
  <si>
    <t>AY20:CH21</t>
    <phoneticPr fontId="2"/>
  </si>
  <si>
    <t>AY29:CH30</t>
    <phoneticPr fontId="2"/>
  </si>
  <si>
    <t>AY38:CH39</t>
    <phoneticPr fontId="2"/>
  </si>
  <si>
    <t>AY47:CH48</t>
    <phoneticPr fontId="2"/>
  </si>
  <si>
    <t>AY56:CH57</t>
    <phoneticPr fontId="2"/>
  </si>
  <si>
    <t>AY65:CH66</t>
    <phoneticPr fontId="2"/>
  </si>
  <si>
    <t>判断結果</t>
  </si>
  <si>
    <t>ファイルパス</t>
    <phoneticPr fontId="2"/>
  </si>
  <si>
    <t>処理対象箇所</t>
    <rPh sb="0" eb="4">
      <t>ショリタイショウ</t>
    </rPh>
    <rPh sb="4" eb="6">
      <t>カショ</t>
    </rPh>
    <phoneticPr fontId="2"/>
  </si>
  <si>
    <t>処理No.</t>
    <rPh sb="0" eb="2">
      <t>ショリ</t>
    </rPh>
    <phoneticPr fontId="2"/>
  </si>
  <si>
    <t>大阪北</t>
    <rPh sb="0" eb="3">
      <t>オオサカキタ</t>
    </rPh>
    <phoneticPr fontId="2"/>
  </si>
  <si>
    <t>小曽根</t>
    <rPh sb="0" eb="3">
      <t>オゾネ</t>
    </rPh>
    <phoneticPr fontId="2"/>
  </si>
  <si>
    <t>日新Cub-123TrB</t>
  </si>
  <si>
    <t>C:\Users\N100\Desktop\点検報告書作成支援ツール（変電）(20250430)\点検報告書(自動保存分)\日新Ｃｕｂ変電所-123TrB Ry-2025.99.99（データ入力中）.xls</t>
  </si>
  <si>
    <t xml:space="preserve"> </t>
    <phoneticPr fontId="2"/>
  </si>
  <si>
    <t>大阪南</t>
    <rPh sb="0" eb="2">
      <t>オオサカ</t>
    </rPh>
    <rPh sb="2" eb="3">
      <t>ミナミ</t>
    </rPh>
    <phoneticPr fontId="2"/>
  </si>
  <si>
    <t>野江</t>
    <rPh sb="0" eb="2">
      <t>ノエ</t>
    </rPh>
    <phoneticPr fontId="2"/>
  </si>
  <si>
    <t>日新Cub-456TrB</t>
    <phoneticPr fontId="2"/>
  </si>
  <si>
    <t>C:\Users\N100\Desktop\点検報告書作成支援ツール（変電）(20250430)\点検報告書(自動保存分)\日新Ｃｕｂ変電所-456TrB Ry-2025.99.99（データ入力中）.xls</t>
  </si>
  <si>
    <t>神戸</t>
    <rPh sb="0" eb="2">
      <t>コウベ</t>
    </rPh>
    <phoneticPr fontId="2"/>
  </si>
  <si>
    <t>南大阪</t>
    <rPh sb="0" eb="3">
      <t>ミナミオオサカ</t>
    </rPh>
    <phoneticPr fontId="2"/>
  </si>
  <si>
    <t>日新D1-123TrB</t>
    <phoneticPr fontId="2"/>
  </si>
  <si>
    <t>C:\Users\N100\Desktop\点検報告書作成支援ツール（変電）(20250430)\点検報告書(自動保存分)\日新Ｄ１変電所-123TrB Ry-2025.99.99（データ入力中）.xls</t>
  </si>
  <si>
    <t>奈良</t>
    <rPh sb="0" eb="2">
      <t>ナラ</t>
    </rPh>
    <phoneticPr fontId="2"/>
  </si>
  <si>
    <t>我孫子</t>
    <rPh sb="0" eb="3">
      <t>アビコ</t>
    </rPh>
    <phoneticPr fontId="2"/>
  </si>
  <si>
    <t>日新D1-456TrB</t>
    <phoneticPr fontId="2"/>
  </si>
  <si>
    <t>C:\Users\N100\Desktop\点検報告書作成支援ツール（変電）(20250430)\点検報告書(自動保存分)\日新Ｄ１変電所-456TrB Ry-2025.99.99（データ入力中）.xls</t>
  </si>
  <si>
    <t>日立Cub-123TrB</t>
    <phoneticPr fontId="2"/>
  </si>
  <si>
    <t>C:\Users\N100\Desktop\点検報告書作成支援ツール（変電）(20250430)\点検報告書(自動保存分)\日立Ｃｕｂ変電所-123TrB Ry-2025.99.99（データ入力中）.xls</t>
  </si>
  <si>
    <t>尼崎</t>
    <rPh sb="0" eb="2">
      <t>アマガサキ</t>
    </rPh>
    <phoneticPr fontId="2"/>
  </si>
  <si>
    <t>日立Cub-456TrB</t>
    <phoneticPr fontId="2"/>
  </si>
  <si>
    <t>C:\Users\N100\Desktop\点検報告書作成支援ツール（変電）(20250430)\点検報告書(自動保存分)\日立Ｃｕｂ変電所-456TrB Ry-2025.99.99（データ入力中）.xls</t>
  </si>
  <si>
    <t>日立自立盤変電所-123TrB</t>
    <phoneticPr fontId="2"/>
  </si>
  <si>
    <t>C:\Users\N100\Desktop\点検報告書作成支援ツール（変電）(20250430)\点検報告書(自動保存分)\日立自立盤変電所-123TrB Ry-2025.99.99（データ入力中）.xls</t>
  </si>
  <si>
    <t>吉野</t>
    <rPh sb="0" eb="2">
      <t>ヨシノ</t>
    </rPh>
    <phoneticPr fontId="2"/>
  </si>
  <si>
    <t>C:\Users\N100\Desktop\点検報告書作成支援ツール（変電）(20250430)\点検報告書(自動保存分)\日立自立盤変電所-456TrB Ry-2025.99.99（データ入力中）.xls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</si>
</sst>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quotePrefix="1" applyFill="1" applyBorder="1">
      <alignment vertical="center"/>
    </xf>
    <xf numFmtId="0" fontId="0" fillId="2" borderId="1" xfId="0" quotePrefix="1" applyFill="1" applyBorder="1" applyAlignment="1">
      <alignment horizontal="right"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14" fontId="0" fillId="2" borderId="1" xfId="0" applyNumberFormat="1" applyFill="1" applyBorder="1">
      <alignment vertical="center"/>
    </xf>
    <xf numFmtId="0" fontId="3" fillId="0" borderId="0" xfId="0" applyFon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4" xfId="0" quotePrefix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33B6-F937-45BA-829A-614F5DDD7FE9}">
  <sheetPr codeName="Sheet1"/>
  <dimension ref="A2:F88"/>
  <sheetViews>
    <sheetView tabSelected="1" workbookViewId="0">
      <selection activeCell="E9" sqref="E9"/>
    </sheetView>
  </sheetViews>
  <sheetFormatPr defaultRowHeight="18.75" x14ac:dyDescent="0.4"/>
  <cols>
    <col min="1" max="1" width="14.25" customWidth="1"/>
    <col min="3" max="3" width="32.375" bestFit="1" customWidth="1"/>
    <col min="4" max="4" width="41.875" customWidth="1"/>
  </cols>
  <sheetData>
    <row r="2" spans="1:6" x14ac:dyDescent="0.4">
      <c r="A2" t="s">
        <v>0</v>
      </c>
    </row>
    <row r="6" spans="1:6" x14ac:dyDescent="0.4">
      <c r="A6" t="s">
        <v>1</v>
      </c>
    </row>
    <row r="7" spans="1:6" x14ac:dyDescent="0.4">
      <c r="B7" t="s">
        <v>2</v>
      </c>
      <c r="C7" t="s">
        <v>3</v>
      </c>
      <c r="D7" s="1" t="s">
        <v>4</v>
      </c>
      <c r="F7" t="s">
        <v>5</v>
      </c>
    </row>
    <row r="8" spans="1:6" x14ac:dyDescent="0.4">
      <c r="B8" t="s">
        <v>6</v>
      </c>
      <c r="C8" t="s">
        <v>7</v>
      </c>
      <c r="D8" s="2" t="s">
        <v>8</v>
      </c>
    </row>
    <row r="9" spans="1:6" x14ac:dyDescent="0.4">
      <c r="B9" t="s">
        <v>9</v>
      </c>
      <c r="C9" t="s">
        <v>10</v>
      </c>
      <c r="D9" s="3" t="s">
        <v>11</v>
      </c>
    </row>
    <row r="15" spans="1:6" x14ac:dyDescent="0.4">
      <c r="B15" t="s">
        <v>12</v>
      </c>
      <c r="D15" s="4"/>
    </row>
    <row r="16" spans="1:6" x14ac:dyDescent="0.4">
      <c r="A16" t="s">
        <v>13</v>
      </c>
      <c r="D16" s="4"/>
    </row>
    <row r="17" spans="2:6" x14ac:dyDescent="0.4">
      <c r="B17" t="s">
        <v>14</v>
      </c>
      <c r="C17" t="s">
        <v>15</v>
      </c>
      <c r="D17" s="5" t="str">
        <f>TRIM(RIGHT(SUBSTITUTE(D7,"\",REPT(" ",100)),100))</f>
        <v>13042771神戸港変電所-6TrBRy-2013.05.02.xls</v>
      </c>
      <c r="F17" t="s">
        <v>16</v>
      </c>
    </row>
    <row r="18" spans="2:6" x14ac:dyDescent="0.4">
      <c r="C18" t="s">
        <v>17</v>
      </c>
      <c r="D18" s="5" t="str">
        <f>IFERROR(LEFT(D17,FIND("神戸港変電所",D17)-1),"")</f>
        <v>13042771</v>
      </c>
    </row>
    <row r="19" spans="2:6" x14ac:dyDescent="0.4">
      <c r="C19" t="s">
        <v>18</v>
      </c>
      <c r="D19" s="5" t="str">
        <f>IFERROR(MID(D17,LEN(D18)+1,FIND("所-",D17)-LEN(D18)),"")</f>
        <v>神戸港変電所</v>
      </c>
    </row>
    <row r="20" spans="2:6" x14ac:dyDescent="0.4">
      <c r="C20" t="s">
        <v>19</v>
      </c>
      <c r="D20" s="5" t="str">
        <f>IFERROR(MID(D17,FIND("所-",D17)+LEN("所-"),FIND("-20",D17)-(FIND("所-",D17)+LEN("所-"))),"")</f>
        <v>6TrBRy</v>
      </c>
    </row>
    <row r="21" spans="2:6" x14ac:dyDescent="0.4">
      <c r="C21" t="s">
        <v>20</v>
      </c>
      <c r="D21" s="5" t="str">
        <f>LEFT(RIGHT(D7,14),10)</f>
        <v>2013.05.02</v>
      </c>
    </row>
    <row r="22" spans="2:6" x14ac:dyDescent="0.4">
      <c r="C22" t="s">
        <v>21</v>
      </c>
      <c r="D22" s="6" t="s">
        <v>22</v>
      </c>
      <c r="E22" t="s">
        <v>23</v>
      </c>
    </row>
    <row r="23" spans="2:6" x14ac:dyDescent="0.4">
      <c r="C23" t="s">
        <v>24</v>
      </c>
      <c r="D23" s="5" t="s">
        <v>25</v>
      </c>
      <c r="E23" t="s">
        <v>26</v>
      </c>
    </row>
    <row r="24" spans="2:6" x14ac:dyDescent="0.4">
      <c r="C24" t="s">
        <v>27</v>
      </c>
      <c r="D24" s="7" t="s">
        <v>28</v>
      </c>
      <c r="E24" t="s">
        <v>26</v>
      </c>
    </row>
    <row r="25" spans="2:6" x14ac:dyDescent="0.4">
      <c r="C25" t="s">
        <v>29</v>
      </c>
      <c r="D25" s="5" t="s">
        <v>30</v>
      </c>
      <c r="E25" t="s">
        <v>31</v>
      </c>
    </row>
    <row r="26" spans="2:6" x14ac:dyDescent="0.4">
      <c r="C26" t="s">
        <v>32</v>
      </c>
      <c r="D26" s="5" t="s">
        <v>33</v>
      </c>
      <c r="E26" t="s">
        <v>31</v>
      </c>
    </row>
    <row r="49" spans="1:4" x14ac:dyDescent="0.4">
      <c r="A49" t="s">
        <v>34</v>
      </c>
      <c r="C49" s="4"/>
    </row>
    <row r="50" spans="1:4" x14ac:dyDescent="0.4">
      <c r="A50" t="s">
        <v>35</v>
      </c>
      <c r="B50" t="s">
        <v>36</v>
      </c>
      <c r="C50" s="4" t="s">
        <v>37</v>
      </c>
      <c r="D50" t="s">
        <v>38</v>
      </c>
    </row>
    <row r="51" spans="1:4" x14ac:dyDescent="0.4">
      <c r="A51">
        <v>1</v>
      </c>
      <c r="B51">
        <v>1</v>
      </c>
      <c r="C51" t="s">
        <v>39</v>
      </c>
      <c r="D51" s="8" t="s">
        <v>40</v>
      </c>
    </row>
    <row r="52" spans="1:4" x14ac:dyDescent="0.4">
      <c r="A52">
        <v>1</v>
      </c>
      <c r="B52">
        <v>2</v>
      </c>
      <c r="C52" t="s">
        <v>41</v>
      </c>
      <c r="D52" s="9" t="s">
        <v>42</v>
      </c>
    </row>
    <row r="53" spans="1:4" x14ac:dyDescent="0.4">
      <c r="A53">
        <v>1</v>
      </c>
      <c r="B53">
        <v>3</v>
      </c>
      <c r="C53" t="s">
        <v>43</v>
      </c>
      <c r="D53" s="9" t="s">
        <v>44</v>
      </c>
    </row>
    <row r="54" spans="1:4" x14ac:dyDescent="0.4">
      <c r="A54">
        <v>1</v>
      </c>
      <c r="B54">
        <v>4</v>
      </c>
      <c r="C54" t="s">
        <v>45</v>
      </c>
      <c r="D54" s="9" t="s">
        <v>46</v>
      </c>
    </row>
    <row r="55" spans="1:4" x14ac:dyDescent="0.4">
      <c r="A55">
        <v>1</v>
      </c>
      <c r="B55">
        <v>5</v>
      </c>
      <c r="C55" t="s">
        <v>47</v>
      </c>
      <c r="D55" s="9" t="s">
        <v>48</v>
      </c>
    </row>
    <row r="56" spans="1:4" x14ac:dyDescent="0.4">
      <c r="A56">
        <v>1</v>
      </c>
      <c r="B56">
        <v>6</v>
      </c>
      <c r="C56" t="s">
        <v>49</v>
      </c>
      <c r="D56" s="9" t="s">
        <v>50</v>
      </c>
    </row>
    <row r="57" spans="1:4" x14ac:dyDescent="0.4">
      <c r="A57">
        <v>1</v>
      </c>
      <c r="B57">
        <v>7</v>
      </c>
      <c r="C57" t="s">
        <v>51</v>
      </c>
      <c r="D57" s="10" t="str">
        <f ca="1">TEXT(TODAY(),"YYYY.MM.DD")</f>
        <v>2025.07.09</v>
      </c>
    </row>
    <row r="58" spans="1:4" x14ac:dyDescent="0.4">
      <c r="A58">
        <v>1</v>
      </c>
      <c r="B58">
        <v>6</v>
      </c>
      <c r="C58" t="s">
        <v>49</v>
      </c>
      <c r="D58" s="9" t="s">
        <v>50</v>
      </c>
    </row>
    <row r="59" spans="1:4" x14ac:dyDescent="0.4">
      <c r="A59">
        <v>1</v>
      </c>
      <c r="B59">
        <v>7</v>
      </c>
      <c r="C59" t="s">
        <v>51</v>
      </c>
      <c r="D59" s="10" t="str">
        <f ca="1">TEXT(TODAY(),"YYYY.MM.DD")</f>
        <v>2025.07.09</v>
      </c>
    </row>
    <row r="61" spans="1:4" x14ac:dyDescent="0.4">
      <c r="A61">
        <v>2</v>
      </c>
      <c r="B61">
        <v>1</v>
      </c>
      <c r="C61" t="s">
        <v>39</v>
      </c>
      <c r="D61" s="9" t="s">
        <v>52</v>
      </c>
    </row>
    <row r="62" spans="1:4" x14ac:dyDescent="0.4">
      <c r="A62">
        <v>2</v>
      </c>
      <c r="B62">
        <v>2</v>
      </c>
      <c r="C62" t="s">
        <v>41</v>
      </c>
      <c r="D62" s="9" t="s">
        <v>52</v>
      </c>
    </row>
    <row r="63" spans="1:4" x14ac:dyDescent="0.4">
      <c r="A63">
        <v>2</v>
      </c>
      <c r="B63">
        <v>3</v>
      </c>
      <c r="C63" t="s">
        <v>43</v>
      </c>
      <c r="D63" s="9" t="s">
        <v>53</v>
      </c>
    </row>
    <row r="64" spans="1:4" x14ac:dyDescent="0.4">
      <c r="A64">
        <v>2</v>
      </c>
      <c r="B64">
        <v>4</v>
      </c>
      <c r="C64" t="s">
        <v>45</v>
      </c>
      <c r="D64" s="9" t="s">
        <v>53</v>
      </c>
    </row>
    <row r="66" spans="1:4" x14ac:dyDescent="0.4">
      <c r="A66">
        <v>3</v>
      </c>
      <c r="B66">
        <v>1</v>
      </c>
      <c r="C66" t="s">
        <v>39</v>
      </c>
      <c r="D66" s="9" t="s">
        <v>54</v>
      </c>
    </row>
    <row r="67" spans="1:4" x14ac:dyDescent="0.4">
      <c r="A67">
        <v>3</v>
      </c>
      <c r="B67">
        <v>2</v>
      </c>
      <c r="C67" t="s">
        <v>41</v>
      </c>
      <c r="D67" s="9" t="s">
        <v>54</v>
      </c>
    </row>
    <row r="68" spans="1:4" x14ac:dyDescent="0.4">
      <c r="A68">
        <v>3</v>
      </c>
      <c r="B68">
        <v>3</v>
      </c>
      <c r="C68" t="s">
        <v>43</v>
      </c>
      <c r="D68" s="9" t="s">
        <v>53</v>
      </c>
    </row>
    <row r="69" spans="1:4" x14ac:dyDescent="0.4">
      <c r="A69">
        <v>3</v>
      </c>
      <c r="B69">
        <v>4</v>
      </c>
      <c r="C69" t="s">
        <v>45</v>
      </c>
      <c r="D69" s="9" t="s">
        <v>53</v>
      </c>
    </row>
    <row r="70" spans="1:4" x14ac:dyDescent="0.4">
      <c r="A70">
        <v>3</v>
      </c>
      <c r="B70">
        <v>3</v>
      </c>
      <c r="C70" t="s">
        <v>43</v>
      </c>
      <c r="D70" s="9" t="s">
        <v>55</v>
      </c>
    </row>
    <row r="71" spans="1:4" x14ac:dyDescent="0.4">
      <c r="A71">
        <v>3</v>
      </c>
      <c r="B71">
        <v>4</v>
      </c>
      <c r="C71" t="s">
        <v>45</v>
      </c>
      <c r="D71" s="9" t="s">
        <v>55</v>
      </c>
    </row>
    <row r="73" spans="1:4" x14ac:dyDescent="0.4">
      <c r="A73">
        <v>4</v>
      </c>
      <c r="B73">
        <v>1</v>
      </c>
      <c r="C73" t="s">
        <v>39</v>
      </c>
      <c r="D73" s="9" t="s">
        <v>56</v>
      </c>
    </row>
    <row r="74" spans="1:4" x14ac:dyDescent="0.4">
      <c r="A74">
        <v>4</v>
      </c>
      <c r="B74">
        <v>2</v>
      </c>
      <c r="C74" t="s">
        <v>41</v>
      </c>
      <c r="D74" s="9" t="s">
        <v>56</v>
      </c>
    </row>
    <row r="75" spans="1:4" x14ac:dyDescent="0.4">
      <c r="A75">
        <v>4</v>
      </c>
      <c r="B75">
        <v>3</v>
      </c>
      <c r="C75" t="s">
        <v>43</v>
      </c>
      <c r="D75" s="9" t="s">
        <v>53</v>
      </c>
    </row>
    <row r="76" spans="1:4" x14ac:dyDescent="0.4">
      <c r="A76">
        <v>4</v>
      </c>
      <c r="B76">
        <v>4</v>
      </c>
      <c r="C76" t="s">
        <v>45</v>
      </c>
      <c r="D76" s="9" t="s">
        <v>53</v>
      </c>
    </row>
    <row r="78" spans="1:4" x14ac:dyDescent="0.4">
      <c r="A78">
        <v>5</v>
      </c>
      <c r="B78">
        <v>1</v>
      </c>
      <c r="C78" t="s">
        <v>39</v>
      </c>
      <c r="D78" s="9" t="s">
        <v>57</v>
      </c>
    </row>
    <row r="79" spans="1:4" x14ac:dyDescent="0.4">
      <c r="A79">
        <v>5</v>
      </c>
      <c r="B79">
        <v>2</v>
      </c>
      <c r="C79" t="s">
        <v>41</v>
      </c>
      <c r="D79" s="9" t="s">
        <v>57</v>
      </c>
    </row>
    <row r="80" spans="1:4" x14ac:dyDescent="0.4">
      <c r="A80">
        <v>5</v>
      </c>
      <c r="B80">
        <v>3</v>
      </c>
      <c r="C80" t="s">
        <v>43</v>
      </c>
      <c r="D80" s="9" t="s">
        <v>58</v>
      </c>
    </row>
    <row r="81" spans="1:4" x14ac:dyDescent="0.4">
      <c r="A81">
        <v>5</v>
      </c>
      <c r="B81">
        <v>4</v>
      </c>
      <c r="C81" t="s">
        <v>45</v>
      </c>
      <c r="D81" s="9" t="s">
        <v>58</v>
      </c>
    </row>
    <row r="82" spans="1:4" x14ac:dyDescent="0.4">
      <c r="A82">
        <v>5</v>
      </c>
      <c r="B82">
        <v>5</v>
      </c>
      <c r="C82" t="s">
        <v>47</v>
      </c>
      <c r="D82" s="9" t="s">
        <v>59</v>
      </c>
    </row>
    <row r="83" spans="1:4" x14ac:dyDescent="0.4">
      <c r="A83">
        <v>5</v>
      </c>
      <c r="B83">
        <v>5</v>
      </c>
      <c r="C83" t="s">
        <v>47</v>
      </c>
      <c r="D83" s="9" t="s">
        <v>60</v>
      </c>
    </row>
    <row r="84" spans="1:4" x14ac:dyDescent="0.4">
      <c r="A84">
        <v>5</v>
      </c>
      <c r="B84">
        <v>5</v>
      </c>
      <c r="C84" t="s">
        <v>47</v>
      </c>
      <c r="D84" s="9" t="s">
        <v>61</v>
      </c>
    </row>
    <row r="85" spans="1:4" x14ac:dyDescent="0.4">
      <c r="A85">
        <v>5</v>
      </c>
      <c r="B85">
        <v>5</v>
      </c>
      <c r="C85" t="s">
        <v>47</v>
      </c>
      <c r="D85" s="9" t="s">
        <v>62</v>
      </c>
    </row>
    <row r="86" spans="1:4" x14ac:dyDescent="0.4">
      <c r="A86">
        <v>5</v>
      </c>
      <c r="B86">
        <v>5</v>
      </c>
      <c r="C86" t="s">
        <v>47</v>
      </c>
      <c r="D86" s="9" t="s">
        <v>63</v>
      </c>
    </row>
    <row r="87" spans="1:4" x14ac:dyDescent="0.4">
      <c r="A87">
        <v>5</v>
      </c>
      <c r="B87">
        <v>5</v>
      </c>
      <c r="C87" t="s">
        <v>47</v>
      </c>
      <c r="D87" s="9" t="s">
        <v>64</v>
      </c>
    </row>
    <row r="88" spans="1:4" x14ac:dyDescent="0.4">
      <c r="A88">
        <v>5</v>
      </c>
      <c r="B88">
        <v>5</v>
      </c>
      <c r="C88" t="s">
        <v>47</v>
      </c>
      <c r="D88" s="9" t="s">
        <v>65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C3B15-B786-4DE5-AD2E-481099E4CA0A}">
  <sheetPr codeName="Sheet2"/>
  <dimension ref="A1:L9"/>
  <sheetViews>
    <sheetView workbookViewId="0">
      <selection activeCell="B5" sqref="B5"/>
    </sheetView>
  </sheetViews>
  <sheetFormatPr defaultRowHeight="18.75" x14ac:dyDescent="0.4"/>
  <cols>
    <col min="4" max="4" width="9" style="12"/>
    <col min="6" max="6" width="11.125" bestFit="1" customWidth="1"/>
    <col min="7" max="7" width="24.5" bestFit="1" customWidth="1"/>
    <col min="8" max="8" width="13.125" style="13" customWidth="1"/>
    <col min="10" max="10" width="13" bestFit="1" customWidth="1"/>
    <col min="12" max="12" width="26.25" style="13" bestFit="1" customWidth="1"/>
  </cols>
  <sheetData>
    <row r="1" spans="1:12" x14ac:dyDescent="0.4">
      <c r="A1" s="11" t="s">
        <v>66</v>
      </c>
      <c r="B1" t="s">
        <v>29</v>
      </c>
      <c r="C1" t="s">
        <v>32</v>
      </c>
      <c r="E1" t="s">
        <v>14</v>
      </c>
      <c r="F1" t="s">
        <v>21</v>
      </c>
      <c r="G1" t="s">
        <v>24</v>
      </c>
      <c r="H1" s="13" t="s">
        <v>67</v>
      </c>
      <c r="J1" t="s">
        <v>68</v>
      </c>
      <c r="K1" t="s">
        <v>69</v>
      </c>
      <c r="L1" s="14" t="s">
        <v>37</v>
      </c>
    </row>
    <row r="2" spans="1:12" x14ac:dyDescent="0.4">
      <c r="B2" t="s">
        <v>70</v>
      </c>
      <c r="C2" t="s">
        <v>71</v>
      </c>
      <c r="G2" t="s">
        <v>72</v>
      </c>
      <c r="H2" s="13" t="s">
        <v>73</v>
      </c>
      <c r="I2" t="s">
        <v>74</v>
      </c>
      <c r="K2">
        <v>1</v>
      </c>
      <c r="L2" s="13" t="s">
        <v>39</v>
      </c>
    </row>
    <row r="3" spans="1:12" x14ac:dyDescent="0.4">
      <c r="B3" t="s">
        <v>75</v>
      </c>
      <c r="C3" t="s">
        <v>76</v>
      </c>
      <c r="G3" t="s">
        <v>77</v>
      </c>
      <c r="H3" s="13" t="s">
        <v>78</v>
      </c>
      <c r="I3" t="s">
        <v>74</v>
      </c>
      <c r="K3">
        <v>2</v>
      </c>
      <c r="L3" s="13" t="s">
        <v>41</v>
      </c>
    </row>
    <row r="4" spans="1:12" x14ac:dyDescent="0.4">
      <c r="B4" t="s">
        <v>79</v>
      </c>
      <c r="C4" t="s">
        <v>80</v>
      </c>
      <c r="G4" t="s">
        <v>81</v>
      </c>
      <c r="H4" s="13" t="s">
        <v>82</v>
      </c>
      <c r="I4" t="s">
        <v>74</v>
      </c>
      <c r="K4">
        <v>3</v>
      </c>
      <c r="L4" s="13" t="s">
        <v>43</v>
      </c>
    </row>
    <row r="5" spans="1:12" x14ac:dyDescent="0.4">
      <c r="B5" t="s">
        <v>83</v>
      </c>
      <c r="C5" t="s">
        <v>84</v>
      </c>
      <c r="G5" t="s">
        <v>85</v>
      </c>
      <c r="H5" s="13" t="s">
        <v>86</v>
      </c>
      <c r="I5" t="s">
        <v>74</v>
      </c>
      <c r="K5">
        <v>4</v>
      </c>
      <c r="L5" s="13" t="s">
        <v>45</v>
      </c>
    </row>
    <row r="6" spans="1:12" x14ac:dyDescent="0.4">
      <c r="C6" t="s">
        <v>79</v>
      </c>
      <c r="G6" t="s">
        <v>87</v>
      </c>
      <c r="H6" s="13" t="s">
        <v>88</v>
      </c>
      <c r="I6" t="s">
        <v>74</v>
      </c>
      <c r="K6">
        <v>5</v>
      </c>
      <c r="L6" s="13" t="s">
        <v>47</v>
      </c>
    </row>
    <row r="7" spans="1:12" x14ac:dyDescent="0.4">
      <c r="C7" t="s">
        <v>89</v>
      </c>
      <c r="G7" t="s">
        <v>90</v>
      </c>
      <c r="H7" s="13" t="s">
        <v>91</v>
      </c>
      <c r="I7" t="s">
        <v>74</v>
      </c>
      <c r="K7">
        <v>6</v>
      </c>
      <c r="L7" t="s">
        <v>49</v>
      </c>
    </row>
    <row r="8" spans="1:12" x14ac:dyDescent="0.4">
      <c r="C8" t="s">
        <v>83</v>
      </c>
      <c r="G8" t="s">
        <v>92</v>
      </c>
      <c r="H8" s="13" t="s">
        <v>93</v>
      </c>
      <c r="I8" t="s">
        <v>74</v>
      </c>
      <c r="K8">
        <v>7</v>
      </c>
      <c r="L8" t="s">
        <v>51</v>
      </c>
    </row>
    <row r="9" spans="1:12" x14ac:dyDescent="0.4">
      <c r="C9" t="s">
        <v>94</v>
      </c>
      <c r="F9" t="s">
        <v>22</v>
      </c>
      <c r="G9" t="s">
        <v>25</v>
      </c>
      <c r="H9" s="13" t="s">
        <v>95</v>
      </c>
      <c r="I9" t="s">
        <v>74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71DA9-A3BE-4214-9A6E-3B67DD3C5E3B}">
  <sheetPr codeName="Sheet3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CAEA7-F1BF-4785-88FC-424917E586CF}">
  <sheetPr codeName="Sheet4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F3E2-3381-4A29-83C1-490FB75BD0BE}">
  <sheetPr codeName="Sheet5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9385-8AE4-41D1-8A65-C449B5404B0A}">
  <sheetPr codeName="Sheet6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2025-07-08T22:25:16Z</dcterms:created>
  <dcterms:modified xsi:type="dcterms:W3CDTF">2025-07-08T22:32:01Z</dcterms:modified>
</cp:coreProperties>
</file>