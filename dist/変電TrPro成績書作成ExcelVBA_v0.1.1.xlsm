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C6C49A47-E71E-4235-B4E1-8E04ECD802E5}" xr6:coauthVersionLast="47" xr6:coauthVersionMax="47" xr10:uidLastSave="{00000000-0000-0000-0000-000000000000}"/>
  <bookViews>
    <workbookView xWindow="-120" yWindow="-120" windowWidth="29040" windowHeight="15720" xr2:uid="{DB9141FF-87F3-445C-B2FC-DD3FD86F67D9}"/>
  </bookViews>
  <sheets>
    <sheet name="Settings" sheetId="1" r:id="rId1"/>
    <sheet name="List" sheetId="2" r:id="rId2"/>
    <sheet name="管内List" sheetId="3" r:id="rId3"/>
    <sheet name="DebugLog" sheetId="6" r:id="rId4"/>
    <sheet name="ErrorLog" sheetId="5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17" i="1"/>
  <c r="D20" i="1" s="1"/>
  <c r="D43" i="1"/>
  <c r="D41" i="1"/>
  <c r="D18" i="1" l="1"/>
  <c r="D19" i="1" s="1"/>
</calcChain>
</file>

<file path=xl/sharedStrings.xml><?xml version="1.0" encoding="utf-8"?>
<sst xmlns="http://schemas.openxmlformats.org/spreadsheetml/2006/main" count="201" uniqueCount="130">
  <si>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</si>
  <si>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</si>
  <si>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</si>
  <si>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</si>
  <si>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</si>
  <si>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</si>
  <si>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</si>
  <si>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</si>
  <si>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</si>
  <si>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</si>
  <si>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</si>
  <si>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</si>
  <si>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</si>
  <si>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</si>
  <si>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</si>
  <si>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</si>
  <si>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</si>
  <si>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</si>
  <si>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</si>
  <si>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</si>
  <si>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</si>
  <si>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</si>
  <si>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</si>
  <si>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</si>
  <si>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</si>
  <si>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</si>
  <si>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</si>
  <si>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</si>
  <si>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</si>
  <si>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</si>
  <si>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</si>
  <si>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</si>
  <si>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</si>
  <si>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</si>
  <si>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</si>
  <si>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</si>
  <si>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</si>
  <si>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</si>
  <si>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</si>
  <si>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</si>
  <si>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</si>
  <si>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</si>
  <si>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</si>
  <si>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</si>
  <si>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</si>
  <si>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</si>
  <si>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</si>
  <si>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</si>
  <si>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</si>
  <si>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</si>
  <si>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</si>
  <si>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</si>
  <si>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</si>
  <si>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</si>
  <si>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</si>
  <si>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</si>
  <si>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</si>
  <si>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</si>
  <si>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</si>
  <si>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</si>
  <si>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</si>
  <si>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</si>
  <si>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</si>
  <si>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</si>
  <si>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</si>
  <si>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</si>
  <si>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</si>
  <si>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</si>
  <si>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</si>
  <si>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</si>
  <si>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</si>
  <si>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</si>
  <si>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</si>
  <si>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</si>
  <si>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</si>
  <si>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</si>
  <si>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</si>
  <si>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</si>
  <si>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</si>
  <si>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</si>
  <si>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</si>
  <si>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</si>
  <si>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</si>
  <si>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</si>
  <si>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</si>
  <si>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</si>
  <si>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</si>
  <si>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</si>
  <si>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</si>
  <si>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</si>
  <si>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</si>
  <si>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</si>
  <si>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</si>
  <si>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</si>
  <si>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</si>
  <si>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画面描画を再開し、処理を終了します。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</si>
  <si>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</si>
  <si>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</si>
  <si>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</si>
  <si>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</si>
  <si>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</si>
  <si>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</si>
  <si>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</si>
  <si>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</si>
  <si>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 xml:space="preserve">旧ブックパス: </t>
  </si>
  <si>
    <t xml:space="preserve">判定アドレス: </t>
  </si>
  <si>
    <t xml:space="preserve">ワークブックを開きます: </t>
  </si>
  <si>
    <t>ワークブックを開けませんでした。</t>
  </si>
  <si>
    <t>[致命的エラー]</t>
  </si>
  <si>
    <t>-</t>
  </si>
  <si>
    <t>旧ブックオープン失敗</t>
  </si>
  <si>
    <t xml:space="preserve">指定されたパスのファイルが開けません: </t>
  </si>
  <si>
    <t xml:space="preserve">致命的なエラーが発生しました。処理を中断します。 エラー: </t>
  </si>
  <si>
    <t>実行時エラー: 0</t>
  </si>
  <si>
    <t>出力ブック_保存先フォルダパス</t>
    <rPh sb="0" eb="2">
      <t>シュツリョク</t>
    </rPh>
    <phoneticPr fontId="1"/>
  </si>
  <si>
    <t>C:\Users\N100\.vscode\Github\VBA-Inspection-Report-Generator\dist</t>
  </si>
  <si>
    <t>フォルダパス</t>
    <phoneticPr fontId="1"/>
  </si>
  <si>
    <t>N100</t>
    <phoneticPr fontId="1"/>
  </si>
  <si>
    <t>C:\Users\N100\.vscode\Github\</t>
    <phoneticPr fontId="1"/>
  </si>
  <si>
    <t>機器</t>
    <rPh sb="0" eb="2">
      <t>キキ</t>
    </rPh>
    <phoneticPr fontId="1"/>
  </si>
  <si>
    <t>パス切り替え</t>
    <rPh sb="2" eb="3">
      <t>キ</t>
    </rPh>
    <rPh sb="4" eb="5">
      <t>カ</t>
    </rPh>
    <phoneticPr fontId="1"/>
  </si>
  <si>
    <t>C:\Users\N100\.vscode\Github\VBA-Inspection-Report-Generator\dist\_Template.xlsm\日新Ｃｕｂ変電所-123TrB Ry-2025.99.99（データ入力中）.xls</t>
  </si>
  <si>
    <t>C:\Users\N100\.vscode\Github\VBA-Inspection-Report-Generator\dist\_Template.xlsm\日新Ｃｕｂ変電所-456TrB Ry-2025.99.99（データ入力中）.xls</t>
  </si>
  <si>
    <t>C:\Users\N100\.vscode\Github\VBA-Inspection-Report-Generator\dist\_Template.xlsm\日新Ｄ１変電所-123TrB Ry-2025.99.99（データ入力中）.xls</t>
  </si>
  <si>
    <t>C:\Users\N100\.vscode\Github\VBA-Inspection-Report-Generator\dist\_Template.xlsm\日新Ｄ１変電所-456TrB Ry-2025.99.99（データ入力中）.xls</t>
  </si>
  <si>
    <t>C:\Users\N100\.vscode\Github\VBA-Inspection-Report-Generator\dist\_Template.xlsm\日立Ｃｕｂ変電所-123TrB Ry-2025.99.99（データ入力中）.xls</t>
  </si>
  <si>
    <t>C:\Users\N100\.vscode\Github\VBA-Inspection-Report-Generator\dist\_Template.xlsm\日立Ｃｕｂ変電所-456TrB Ry-2025.99.99（データ入力中）.xls</t>
  </si>
  <si>
    <t>C:\Users\N100\.vscode\Github\VBA-Inspection-Report-Generator\dist\_Template.xlsm\日立自立盤変電所-123TrB Ry-2025.99.99（データ入力中）.xls</t>
  </si>
  <si>
    <t>C:\Users\N100\.vscode\Github\VBA-Inspection-Report-Generator\dist\_Template.xlsm\日立自立盤変電所-456TrB Ry-2025.99.99（データ入力中）.xls</t>
  </si>
  <si>
    <t>C:\Users\N100\.vscode\Github\VBA-Inspection-Report-Generator\dist\_input.xlsm\13042771神戸港変電所-6TrBRy-2013.05.02.xls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</si>
</sst>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2:F72"/>
  <sheetViews>
    <sheetView tabSelected="1" workbookViewId="0">
      <selection activeCell="D7" sqref="D7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2" spans="1:6" x14ac:dyDescent="0.4">
      <c r="A2" t="s">
        <v>74</v>
      </c>
    </row>
    <row r="6" spans="1:6" x14ac:dyDescent="0.4">
      <c r="A6" t="s">
        <v>70</v>
      </c>
    </row>
    <row r="7" spans="1:6" x14ac:dyDescent="0.4">
      <c r="B7" t="s">
        <v>11</v>
      </c>
      <c r="C7" t="s">
        <v>58</v>
      </c>
      <c r="D7" s="15" t="s">
        <v>129</v>
      </c>
      <c r="F7" t="s">
        <v>75</v>
      </c>
    </row>
    <row r="8" spans="1:6" x14ac:dyDescent="0.4">
      <c r="B8" t="s">
        <v>1</v>
      </c>
      <c r="C8" t="s">
        <v>66</v>
      </c>
      <c r="D8" s="12" t="s">
        <v>96</v>
      </c>
    </row>
    <row r="9" spans="1:6" x14ac:dyDescent="0.4">
      <c r="B9" t="s">
        <v>103</v>
      </c>
      <c r="C9" t="s">
        <v>114</v>
      </c>
      <c r="D9" s="16" t="s">
        <v>115</v>
      </c>
    </row>
    <row r="10" spans="1:6" hidden="1" x14ac:dyDescent="0.4"/>
    <row r="11" spans="1:6" hidden="1" x14ac:dyDescent="0.4"/>
    <row r="12" spans="1:6" hidden="1" x14ac:dyDescent="0.4"/>
    <row r="13" spans="1:6" hidden="1" x14ac:dyDescent="0.4"/>
    <row r="14" spans="1:6" hidden="1" x14ac:dyDescent="0.4"/>
    <row r="15" spans="1:6" x14ac:dyDescent="0.4">
      <c r="B15" t="s">
        <v>30</v>
      </c>
      <c r="D15" s="1"/>
    </row>
    <row r="16" spans="1:6" x14ac:dyDescent="0.4">
      <c r="A16" t="s">
        <v>71</v>
      </c>
      <c r="D16" s="1"/>
    </row>
    <row r="17" spans="2:6" x14ac:dyDescent="0.4">
      <c r="B17" t="s">
        <v>29</v>
      </c>
      <c r="C17" t="s">
        <v>59</v>
      </c>
      <c r="D17" s="9" t="str">
        <f>TRIM(RIGHT(SUBSTITUTE(D7,"\",REPT(" ",100)),100))</f>
        <v>13042771神戸港変電所-6TrBRy-2013.05.02.xls</v>
      </c>
      <c r="F17" t="s">
        <v>76</v>
      </c>
    </row>
    <row r="18" spans="2:6" x14ac:dyDescent="0.4">
      <c r="C18" t="s">
        <v>61</v>
      </c>
      <c r="D18" s="9" t="str">
        <f>IFERROR(LEFT(D17,FIND("神戸港変電所",D17)-1),"")</f>
        <v>13042771</v>
      </c>
    </row>
    <row r="19" spans="2:6" x14ac:dyDescent="0.4">
      <c r="C19" t="s">
        <v>62</v>
      </c>
      <c r="D19" s="9" t="str">
        <f>IFERROR(MID(D17,LEN(D18)+1,FIND("所-",D17)-LEN(D18)),"")</f>
        <v>神戸港変電所</v>
      </c>
    </row>
    <row r="20" spans="2:6" x14ac:dyDescent="0.4">
      <c r="C20" t="s">
        <v>63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64</v>
      </c>
      <c r="D21" s="9" t="str">
        <f>LEFT(RIGHT(D7,14),10)</f>
        <v>2013.05.02</v>
      </c>
    </row>
    <row r="22" spans="2:6" x14ac:dyDescent="0.4">
      <c r="C22" t="s">
        <v>97</v>
      </c>
      <c r="D22" s="10" t="s">
        <v>98</v>
      </c>
      <c r="E22" t="s">
        <v>100</v>
      </c>
    </row>
    <row r="23" spans="2:6" x14ac:dyDescent="0.4">
      <c r="C23" t="s">
        <v>27</v>
      </c>
      <c r="D23" s="9" t="s">
        <v>10</v>
      </c>
      <c r="E23" t="s">
        <v>101</v>
      </c>
    </row>
    <row r="24" spans="2:6" x14ac:dyDescent="0.4">
      <c r="C24" t="s">
        <v>60</v>
      </c>
      <c r="D24" s="9" t="s">
        <v>99</v>
      </c>
      <c r="E24" t="s">
        <v>101</v>
      </c>
    </row>
    <row r="25" spans="2:6" x14ac:dyDescent="0.4">
      <c r="C25" t="s">
        <v>12</v>
      </c>
      <c r="D25" s="9" t="s">
        <v>26</v>
      </c>
      <c r="E25" t="s">
        <v>69</v>
      </c>
    </row>
    <row r="26" spans="2:6" x14ac:dyDescent="0.4">
      <c r="C26" t="s">
        <v>13</v>
      </c>
      <c r="D26" s="9" t="s">
        <v>25</v>
      </c>
      <c r="E26" t="s">
        <v>69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3" spans="1:4" x14ac:dyDescent="0.4">
      <c r="A33" t="s">
        <v>72</v>
      </c>
      <c r="C33" s="1"/>
    </row>
    <row r="34" spans="1:4" x14ac:dyDescent="0.4">
      <c r="A34" t="s">
        <v>73</v>
      </c>
      <c r="B34" t="s">
        <v>102</v>
      </c>
      <c r="C34" s="1" t="s">
        <v>42</v>
      </c>
      <c r="D34" t="s">
        <v>14</v>
      </c>
    </row>
    <row r="35" spans="1:4" x14ac:dyDescent="0.4">
      <c r="A35">
        <v>1</v>
      </c>
      <c r="B35">
        <v>1</v>
      </c>
      <c r="C35" t="s">
        <v>33</v>
      </c>
      <c r="D35" s="6" t="s">
        <v>2</v>
      </c>
    </row>
    <row r="36" spans="1:4" x14ac:dyDescent="0.4">
      <c r="A36">
        <v>1</v>
      </c>
      <c r="B36">
        <v>2</v>
      </c>
      <c r="C36" t="s">
        <v>34</v>
      </c>
      <c r="D36" s="7" t="s">
        <v>32</v>
      </c>
    </row>
    <row r="37" spans="1:4" x14ac:dyDescent="0.4">
      <c r="A37">
        <v>1</v>
      </c>
      <c r="B37">
        <v>3</v>
      </c>
      <c r="C37" t="s">
        <v>35</v>
      </c>
      <c r="D37" s="7" t="s">
        <v>38</v>
      </c>
    </row>
    <row r="38" spans="1:4" x14ac:dyDescent="0.4">
      <c r="A38">
        <v>1</v>
      </c>
      <c r="B38">
        <v>4</v>
      </c>
      <c r="C38" t="s">
        <v>36</v>
      </c>
      <c r="D38" s="7" t="s">
        <v>39</v>
      </c>
    </row>
    <row r="39" spans="1:4" x14ac:dyDescent="0.4">
      <c r="A39">
        <v>1</v>
      </c>
      <c r="B39">
        <v>5</v>
      </c>
      <c r="C39" t="s">
        <v>37</v>
      </c>
      <c r="D39" s="7" t="s">
        <v>65</v>
      </c>
    </row>
    <row r="40" spans="1:4" x14ac:dyDescent="0.4">
      <c r="A40">
        <v>1</v>
      </c>
      <c r="B40">
        <v>6</v>
      </c>
      <c r="C40" t="s">
        <v>67</v>
      </c>
      <c r="D40" s="7" t="s">
        <v>40</v>
      </c>
    </row>
    <row r="41" spans="1:4" x14ac:dyDescent="0.4">
      <c r="A41">
        <v>1</v>
      </c>
      <c r="B41">
        <v>7</v>
      </c>
      <c r="C41" t="s">
        <v>68</v>
      </c>
      <c r="D41" s="8" t="str">
        <f ca="1">TEXT(TODAY(),"YYYY.MM.DD")</f>
        <v>2025.07.09</v>
      </c>
    </row>
    <row r="42" spans="1:4" x14ac:dyDescent="0.4">
      <c r="A42">
        <v>1</v>
      </c>
      <c r="B42">
        <v>6</v>
      </c>
      <c r="C42" t="s">
        <v>67</v>
      </c>
      <c r="D42" s="7" t="s">
        <v>40</v>
      </c>
    </row>
    <row r="43" spans="1:4" x14ac:dyDescent="0.4">
      <c r="A43">
        <v>1</v>
      </c>
      <c r="B43">
        <v>7</v>
      </c>
      <c r="C43" t="s">
        <v>68</v>
      </c>
      <c r="D43" s="8" t="str">
        <f ca="1">TEXT(TODAY(),"YYYY.MM.DD")</f>
        <v>2025.07.09</v>
      </c>
    </row>
    <row r="45" spans="1:4" x14ac:dyDescent="0.4">
      <c r="A45">
        <v>2</v>
      </c>
      <c r="B45">
        <v>1</v>
      </c>
      <c r="C45" t="s">
        <v>33</v>
      </c>
      <c r="D45" s="7" t="s">
        <v>44</v>
      </c>
    </row>
    <row r="46" spans="1:4" x14ac:dyDescent="0.4">
      <c r="A46">
        <v>2</v>
      </c>
      <c r="B46">
        <v>2</v>
      </c>
      <c r="C46" t="s">
        <v>34</v>
      </c>
      <c r="D46" s="7" t="s">
        <v>44</v>
      </c>
    </row>
    <row r="47" spans="1:4" x14ac:dyDescent="0.4">
      <c r="A47">
        <v>2</v>
      </c>
      <c r="B47">
        <v>3</v>
      </c>
      <c r="C47" t="s">
        <v>35</v>
      </c>
      <c r="D47" s="7" t="s">
        <v>45</v>
      </c>
    </row>
    <row r="48" spans="1:4" x14ac:dyDescent="0.4">
      <c r="A48">
        <v>2</v>
      </c>
      <c r="B48">
        <v>4</v>
      </c>
      <c r="C48" t="s">
        <v>36</v>
      </c>
      <c r="D48" s="7" t="s">
        <v>45</v>
      </c>
    </row>
    <row r="50" spans="1:4" x14ac:dyDescent="0.4">
      <c r="A50">
        <v>3</v>
      </c>
      <c r="B50">
        <v>1</v>
      </c>
      <c r="C50" t="s">
        <v>33</v>
      </c>
      <c r="D50" s="7" t="s">
        <v>56</v>
      </c>
    </row>
    <row r="51" spans="1:4" x14ac:dyDescent="0.4">
      <c r="A51">
        <v>3</v>
      </c>
      <c r="B51">
        <v>2</v>
      </c>
      <c r="C51" t="s">
        <v>34</v>
      </c>
      <c r="D51" s="7" t="s">
        <v>56</v>
      </c>
    </row>
    <row r="52" spans="1:4" x14ac:dyDescent="0.4">
      <c r="A52">
        <v>3</v>
      </c>
      <c r="B52">
        <v>3</v>
      </c>
      <c r="C52" t="s">
        <v>35</v>
      </c>
      <c r="D52" s="7" t="s">
        <v>45</v>
      </c>
    </row>
    <row r="53" spans="1:4" x14ac:dyDescent="0.4">
      <c r="A53">
        <v>3</v>
      </c>
      <c r="B53">
        <v>4</v>
      </c>
      <c r="C53" t="s">
        <v>36</v>
      </c>
      <c r="D53" s="7" t="s">
        <v>45</v>
      </c>
    </row>
    <row r="54" spans="1:4" x14ac:dyDescent="0.4">
      <c r="A54">
        <v>3</v>
      </c>
      <c r="B54">
        <v>3</v>
      </c>
      <c r="C54" t="s">
        <v>35</v>
      </c>
      <c r="D54" s="7" t="s">
        <v>46</v>
      </c>
    </row>
    <row r="55" spans="1:4" x14ac:dyDescent="0.4">
      <c r="A55">
        <v>3</v>
      </c>
      <c r="B55">
        <v>4</v>
      </c>
      <c r="C55" t="s">
        <v>36</v>
      </c>
      <c r="D55" s="7" t="s">
        <v>46</v>
      </c>
    </row>
    <row r="57" spans="1:4" x14ac:dyDescent="0.4">
      <c r="A57">
        <v>4</v>
      </c>
      <c r="B57">
        <v>1</v>
      </c>
      <c r="C57" t="s">
        <v>33</v>
      </c>
      <c r="D57" s="7" t="s">
        <v>55</v>
      </c>
    </row>
    <row r="58" spans="1:4" x14ac:dyDescent="0.4">
      <c r="A58">
        <v>4</v>
      </c>
      <c r="B58">
        <v>2</v>
      </c>
      <c r="C58" t="s">
        <v>34</v>
      </c>
      <c r="D58" s="7" t="s">
        <v>55</v>
      </c>
    </row>
    <row r="59" spans="1:4" x14ac:dyDescent="0.4">
      <c r="A59">
        <v>4</v>
      </c>
      <c r="B59">
        <v>3</v>
      </c>
      <c r="C59" t="s">
        <v>35</v>
      </c>
      <c r="D59" s="7" t="s">
        <v>45</v>
      </c>
    </row>
    <row r="60" spans="1:4" x14ac:dyDescent="0.4">
      <c r="A60">
        <v>4</v>
      </c>
      <c r="B60">
        <v>4</v>
      </c>
      <c r="C60" t="s">
        <v>36</v>
      </c>
      <c r="D60" s="7" t="s">
        <v>45</v>
      </c>
    </row>
    <row r="62" spans="1:4" x14ac:dyDescent="0.4">
      <c r="A62">
        <v>5</v>
      </c>
      <c r="B62">
        <v>1</v>
      </c>
      <c r="C62" t="s">
        <v>33</v>
      </c>
      <c r="D62" s="7" t="s">
        <v>57</v>
      </c>
    </row>
    <row r="63" spans="1:4" x14ac:dyDescent="0.4">
      <c r="A63">
        <v>5</v>
      </c>
      <c r="B63">
        <v>2</v>
      </c>
      <c r="C63" t="s">
        <v>34</v>
      </c>
      <c r="D63" s="7" t="s">
        <v>57</v>
      </c>
    </row>
    <row r="64" spans="1:4" x14ac:dyDescent="0.4">
      <c r="A64">
        <v>5</v>
      </c>
      <c r="B64">
        <v>3</v>
      </c>
      <c r="C64" t="s">
        <v>35</v>
      </c>
      <c r="D64" s="7" t="s">
        <v>47</v>
      </c>
    </row>
    <row r="65" spans="1:4" x14ac:dyDescent="0.4">
      <c r="A65">
        <v>5</v>
      </c>
      <c r="B65">
        <v>4</v>
      </c>
      <c r="C65" t="s">
        <v>36</v>
      </c>
      <c r="D65" s="7" t="s">
        <v>47</v>
      </c>
    </row>
    <row r="66" spans="1:4" x14ac:dyDescent="0.4">
      <c r="A66">
        <v>5</v>
      </c>
      <c r="B66">
        <v>5</v>
      </c>
      <c r="C66" t="s">
        <v>37</v>
      </c>
      <c r="D66" s="7" t="s">
        <v>48</v>
      </c>
    </row>
    <row r="67" spans="1:4" x14ac:dyDescent="0.4">
      <c r="A67">
        <v>5</v>
      </c>
      <c r="B67">
        <v>5</v>
      </c>
      <c r="C67" t="s">
        <v>37</v>
      </c>
      <c r="D67" s="7" t="s">
        <v>49</v>
      </c>
    </row>
    <row r="68" spans="1:4" x14ac:dyDescent="0.4">
      <c r="A68">
        <v>5</v>
      </c>
      <c r="B68">
        <v>5</v>
      </c>
      <c r="C68" t="s">
        <v>37</v>
      </c>
      <c r="D68" s="7" t="s">
        <v>50</v>
      </c>
    </row>
    <row r="69" spans="1:4" x14ac:dyDescent="0.4">
      <c r="A69">
        <v>5</v>
      </c>
      <c r="B69">
        <v>5</v>
      </c>
      <c r="C69" t="s">
        <v>37</v>
      </c>
      <c r="D69" s="7" t="s">
        <v>51</v>
      </c>
    </row>
    <row r="70" spans="1:4" x14ac:dyDescent="0.4">
      <c r="A70">
        <v>5</v>
      </c>
      <c r="B70">
        <v>5</v>
      </c>
      <c r="C70" t="s">
        <v>37</v>
      </c>
      <c r="D70" s="7" t="s">
        <v>52</v>
      </c>
    </row>
    <row r="71" spans="1:4" x14ac:dyDescent="0.4">
      <c r="A71">
        <v>5</v>
      </c>
      <c r="B71">
        <v>5</v>
      </c>
      <c r="C71" t="s">
        <v>37</v>
      </c>
      <c r="D71" s="7" t="s">
        <v>53</v>
      </c>
    </row>
    <row r="72" spans="1:4" x14ac:dyDescent="0.4">
      <c r="A72">
        <v>5</v>
      </c>
      <c r="B72">
        <v>5</v>
      </c>
      <c r="C72" t="s">
        <v>37</v>
      </c>
      <c r="D72" s="7" t="s">
        <v>54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P9"/>
  <sheetViews>
    <sheetView workbookViewId="0">
      <selection activeCell="H2" sqref="H2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  <col min="14" max="14" width="13" bestFit="1" customWidth="1"/>
  </cols>
  <sheetData>
    <row r="1" spans="1:16" x14ac:dyDescent="0.4">
      <c r="A1" s="2" t="s">
        <v>28</v>
      </c>
      <c r="B1" t="s">
        <v>12</v>
      </c>
      <c r="C1" t="s">
        <v>13</v>
      </c>
      <c r="E1" t="s">
        <v>29</v>
      </c>
      <c r="F1" t="s">
        <v>97</v>
      </c>
      <c r="G1" t="s">
        <v>27</v>
      </c>
      <c r="H1" s="4" t="s">
        <v>0</v>
      </c>
      <c r="J1" t="s">
        <v>31</v>
      </c>
      <c r="K1" t="s">
        <v>41</v>
      </c>
      <c r="L1" s="5" t="s">
        <v>42</v>
      </c>
      <c r="N1" t="s">
        <v>120</v>
      </c>
      <c r="O1" t="s">
        <v>119</v>
      </c>
      <c r="P1" t="s">
        <v>116</v>
      </c>
    </row>
    <row r="2" spans="1:16" x14ac:dyDescent="0.4">
      <c r="B2" t="s">
        <v>15</v>
      </c>
      <c r="C2" t="s">
        <v>19</v>
      </c>
      <c r="G2" t="s">
        <v>4</v>
      </c>
      <c r="H2" s="4" t="s">
        <v>121</v>
      </c>
      <c r="I2" t="s">
        <v>43</v>
      </c>
      <c r="K2">
        <v>1</v>
      </c>
      <c r="L2" s="4" t="s">
        <v>33</v>
      </c>
      <c r="O2" t="s">
        <v>117</v>
      </c>
      <c r="P2" t="s">
        <v>118</v>
      </c>
    </row>
    <row r="3" spans="1:16" x14ac:dyDescent="0.4">
      <c r="B3" t="s">
        <v>16</v>
      </c>
      <c r="C3" t="s">
        <v>20</v>
      </c>
      <c r="G3" t="s">
        <v>3</v>
      </c>
      <c r="H3" s="4" t="s">
        <v>122</v>
      </c>
      <c r="I3" t="s">
        <v>43</v>
      </c>
      <c r="K3">
        <v>2</v>
      </c>
      <c r="L3" s="4" t="s">
        <v>34</v>
      </c>
    </row>
    <row r="4" spans="1:16" x14ac:dyDescent="0.4">
      <c r="B4" t="s">
        <v>17</v>
      </c>
      <c r="C4" t="s">
        <v>21</v>
      </c>
      <c r="G4" t="s">
        <v>6</v>
      </c>
      <c r="H4" s="4" t="s">
        <v>123</v>
      </c>
      <c r="I4" t="s">
        <v>43</v>
      </c>
      <c r="K4">
        <v>3</v>
      </c>
      <c r="L4" s="4" t="s">
        <v>35</v>
      </c>
    </row>
    <row r="5" spans="1:16" x14ac:dyDescent="0.4">
      <c r="B5" t="s">
        <v>18</v>
      </c>
      <c r="C5" t="s">
        <v>22</v>
      </c>
      <c r="G5" t="s">
        <v>5</v>
      </c>
      <c r="H5" s="4" t="s">
        <v>124</v>
      </c>
      <c r="I5" t="s">
        <v>43</v>
      </c>
      <c r="K5">
        <v>4</v>
      </c>
      <c r="L5" s="4" t="s">
        <v>36</v>
      </c>
    </row>
    <row r="6" spans="1:16" x14ac:dyDescent="0.4">
      <c r="C6" t="s">
        <v>17</v>
      </c>
      <c r="G6" t="s">
        <v>8</v>
      </c>
      <c r="H6" s="4" t="s">
        <v>125</v>
      </c>
      <c r="I6" t="s">
        <v>43</v>
      </c>
      <c r="K6">
        <v>5</v>
      </c>
      <c r="L6" s="4" t="s">
        <v>37</v>
      </c>
    </row>
    <row r="7" spans="1:16" x14ac:dyDescent="0.4">
      <c r="C7" t="s">
        <v>23</v>
      </c>
      <c r="G7" t="s">
        <v>7</v>
      </c>
      <c r="H7" s="4" t="s">
        <v>126</v>
      </c>
      <c r="I7" t="s">
        <v>43</v>
      </c>
      <c r="K7">
        <v>6</v>
      </c>
      <c r="L7" t="s">
        <v>67</v>
      </c>
    </row>
    <row r="8" spans="1:16" x14ac:dyDescent="0.4">
      <c r="C8" t="s">
        <v>18</v>
      </c>
      <c r="G8" t="s">
        <v>9</v>
      </c>
      <c r="H8" s="4" t="s">
        <v>127</v>
      </c>
      <c r="I8" t="s">
        <v>43</v>
      </c>
      <c r="K8">
        <v>7</v>
      </c>
      <c r="L8" t="s">
        <v>68</v>
      </c>
    </row>
    <row r="9" spans="1:16" x14ac:dyDescent="0.4">
      <c r="C9" t="s">
        <v>24</v>
      </c>
      <c r="F9" t="s">
        <v>98</v>
      </c>
      <c r="G9" t="s">
        <v>10</v>
      </c>
      <c r="H9" s="4" t="s">
        <v>128</v>
      </c>
      <c r="I9" t="s">
        <v>43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>
    <tabColor theme="2" tint="-0.499984740745262"/>
  </sheetPr>
  <dimension ref="A1:B13"/>
  <sheetViews>
    <sheetView topLeftCell="A91" workbookViewId="0">
      <selection activeCell="A91" sqref="A1:B128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77</v>
      </c>
      <c r="B1" t="s">
        <v>78</v>
      </c>
    </row>
    <row r="2" spans="1:2" x14ac:dyDescent="0.4">
      <c r="A2" s="11">
        <v>45847.577002314814</v>
      </c>
      <c r="B2" t="s">
        <v>79</v>
      </c>
    </row>
    <row r="3" spans="1:2" x14ac:dyDescent="0.4">
      <c r="A3" s="11">
        <v>45847.577002314814</v>
      </c>
      <c r="B3" t="s">
        <v>83</v>
      </c>
    </row>
    <row r="4" spans="1:2" x14ac:dyDescent="0.4">
      <c r="A4" s="11">
        <v>45847.577002314814</v>
      </c>
      <c r="B4" t="s">
        <v>84</v>
      </c>
    </row>
    <row r="5" spans="1:2" x14ac:dyDescent="0.4">
      <c r="A5" s="11">
        <v>45847.577002314814</v>
      </c>
      <c r="B5" t="s">
        <v>85</v>
      </c>
    </row>
    <row r="6" spans="1:2" x14ac:dyDescent="0.4">
      <c r="A6" s="11">
        <v>45847.577002314814</v>
      </c>
      <c r="B6" t="s">
        <v>93</v>
      </c>
    </row>
    <row r="7" spans="1:2" x14ac:dyDescent="0.4">
      <c r="A7" s="11">
        <v>45847.577002314814</v>
      </c>
      <c r="B7" t="s">
        <v>104</v>
      </c>
    </row>
    <row r="8" spans="1:2" x14ac:dyDescent="0.4">
      <c r="A8" s="11">
        <v>45847.577002314814</v>
      </c>
      <c r="B8" t="s">
        <v>105</v>
      </c>
    </row>
    <row r="9" spans="1:2" x14ac:dyDescent="0.4">
      <c r="A9" s="11">
        <v>45847.577002314814</v>
      </c>
      <c r="B9" t="s">
        <v>94</v>
      </c>
    </row>
    <row r="10" spans="1:2" x14ac:dyDescent="0.4">
      <c r="A10" s="11">
        <v>45847.577002314814</v>
      </c>
      <c r="B10" t="s">
        <v>106</v>
      </c>
    </row>
    <row r="11" spans="1:2" x14ac:dyDescent="0.4">
      <c r="A11" s="11">
        <v>45847.577002314814</v>
      </c>
      <c r="B11" t="s">
        <v>107</v>
      </c>
    </row>
    <row r="12" spans="1:2" x14ac:dyDescent="0.4">
      <c r="A12" s="11">
        <v>45847.577002314814</v>
      </c>
      <c r="B12" t="s">
        <v>112</v>
      </c>
    </row>
    <row r="13" spans="1:2" x14ac:dyDescent="0.4">
      <c r="A13" s="11">
        <v>45847.577013888891</v>
      </c>
      <c r="B13" t="s">
        <v>95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>
    <tabColor rgb="FFEE0000"/>
  </sheetPr>
  <dimension ref="A1:F3"/>
  <sheetViews>
    <sheetView workbookViewId="0">
      <selection activeCell="B2" sqref="B2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77</v>
      </c>
      <c r="B1" t="s">
        <v>86</v>
      </c>
      <c r="C1" t="s">
        <v>87</v>
      </c>
      <c r="D1" t="s">
        <v>88</v>
      </c>
      <c r="E1" t="s">
        <v>89</v>
      </c>
      <c r="F1" t="s">
        <v>90</v>
      </c>
    </row>
    <row r="2" spans="1:6" s="14" customFormat="1" x14ac:dyDescent="0.4">
      <c r="A2" s="13">
        <v>45847.577002314814</v>
      </c>
      <c r="B2" s="14" t="s">
        <v>108</v>
      </c>
      <c r="C2" s="14" t="s">
        <v>109</v>
      </c>
      <c r="D2" s="14" t="s">
        <v>109</v>
      </c>
      <c r="E2" s="14" t="s">
        <v>110</v>
      </c>
      <c r="F2" s="14" t="s">
        <v>111</v>
      </c>
    </row>
    <row r="3" spans="1:6" s="14" customFormat="1" x14ac:dyDescent="0.4">
      <c r="A3" s="13">
        <v>45847.577002314814</v>
      </c>
      <c r="B3" s="14" t="s">
        <v>108</v>
      </c>
      <c r="C3" s="14" t="s">
        <v>109</v>
      </c>
      <c r="D3" s="14" t="s">
        <v>109</v>
      </c>
      <c r="E3" s="14" t="s">
        <v>113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>
    <tabColor theme="2" tint="-0.499984740745262"/>
  </sheetPr>
  <dimension ref="A1:D2"/>
  <sheetViews>
    <sheetView workbookViewId="0">
      <selection activeCell="C10" sqref="A1:D12"/>
    </sheetView>
  </sheetViews>
  <sheetFormatPr defaultRowHeight="18.75" x14ac:dyDescent="0.4"/>
  <cols>
    <col min="1" max="1" width="14.75" bestFit="1" customWidth="1"/>
  </cols>
  <sheetData>
    <row r="1" spans="1:4" x14ac:dyDescent="0.4">
      <c r="A1" t="s">
        <v>77</v>
      </c>
      <c r="B1" t="s">
        <v>80</v>
      </c>
      <c r="C1" t="s">
        <v>81</v>
      </c>
      <c r="D1" t="s">
        <v>82</v>
      </c>
    </row>
    <row r="2" spans="1:4" x14ac:dyDescent="0.4">
      <c r="A2" s="11">
        <v>45847.577002314814</v>
      </c>
      <c r="B2" t="s">
        <v>91</v>
      </c>
      <c r="C2" t="s">
        <v>92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N100</cp:lastModifiedBy>
  <dcterms:created xsi:type="dcterms:W3CDTF">2025-07-04T07:31:12Z</dcterms:created>
  <dcterms:modified xsi:type="dcterms:W3CDTF">2025-07-09T05:08:00Z</dcterms:modified>
</cp:coreProperties>
</file>