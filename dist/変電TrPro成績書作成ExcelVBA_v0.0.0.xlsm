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Desktop\点検報告書作成支援ツール（変電）(20250430)\_変電TrPro成績書作成ExcelVBA\"/>
    </mc:Choice>
  </mc:AlternateContent>
  <xr:revisionPtr revIDLastSave="0" documentId="13_ncr:1_{F124E420-27CA-4403-9438-0BCD467D0D0C}" xr6:coauthVersionLast="47" xr6:coauthVersionMax="47" xr10:uidLastSave="{00000000-0000-0000-0000-000000000000}"/>
  <bookViews>
    <workbookView xWindow="-120" yWindow="-120" windowWidth="38640" windowHeight="15720" xr2:uid="{DB9141FF-87F3-445C-B2FC-DD3FD86F67D9}"/>
  </bookViews>
  <sheets>
    <sheet name="Settings" sheetId="1" r:id="rId1"/>
    <sheet name="List" sheetId="2" r:id="rId2"/>
    <sheet name="管内List" sheetId="3" r:id="rId3"/>
    <sheet name="ErrorLog" sheetId="5" r:id="rId4"/>
    <sheet name="Log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8" i="1"/>
  <c r="D11" i="1" s="1"/>
  <c r="D28" i="1"/>
  <c r="D26" i="1"/>
  <c r="D9" i="1" l="1"/>
  <c r="D10" i="1" s="1"/>
</calcChain>
</file>

<file path=xl/sharedStrings.xml><?xml version="1.0" encoding="utf-8"?>
<sst xmlns="http://schemas.openxmlformats.org/spreadsheetml/2006/main" count="153" uniqueCount="91">
  <si>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</si>
  <si>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</si>
  <si>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</si>
  <si>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'87'!T7:AB7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</si>
  <si>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</si>
  <si>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</si>
  <si>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</si>
  <si>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</si>
  <si>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</si>
  <si>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</si>
  <si>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</si>
  <si>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</si>
  <si>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</si>
  <si>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</si>
  <si>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</si>
  <si>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</si>
  <si>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</si>
  <si>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</si>
  <si>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</si>
  <si>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</si>
  <si>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C:\Users\N100\Desktop\点検報告書作成支援ツール（変電）(20250430)\点検報告書(自動保存分)\日立自立盤変電所-456TrB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</si>
  <si>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</si>
  <si>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</si>
  <si>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</si>
  <si>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</si>
  <si>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</si>
  <si>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</si>
  <si>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</si>
  <si>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</si>
  <si>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</si>
  <si>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</si>
  <si>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</si>
  <si>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</si>
  <si>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</si>
  <si>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</si>
  <si>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</si>
  <si>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</si>
  <si>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</si>
  <si>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</si>
  <si>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</si>
  <si>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</si>
  <si>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</si>
  <si>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</si>
  <si>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</si>
  <si>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</si>
  <si>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</si>
  <si>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</si>
  <si>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</si>
  <si>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</si>
  <si>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</si>
  <si>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</si>
  <si>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</si>
  <si>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</si>
  <si>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</si>
  <si>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</si>
  <si>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</si>
  <si>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</si>
  <si>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</si>
  <si>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</si>
  <si>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</si>
  <si>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</si>
  <si>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</si>
  <si>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</si>
  <si>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</si>
  <si>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</si>
  <si>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</si>
  <si>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</si>
  <si>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C:\Users\N100\Desktop\点検報告書作成支援ツール（変電）(20250430)\点検報告書(自動保存分)\日新Ｃｕｂ変電所-123TrB Ry-2025.99.99（データ入力中）.xls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</si>
  <si>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</si>
  <si>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</si>
  <si>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</si>
  <si>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日新Cub-123TrB</t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</si>
  <si>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</si>
  <si>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</si>
  <si>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</si>
  <si>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</si>
  <si>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</si>
  <si>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</si>
  <si>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C:\Users\N100\Desktop\点検報告書作成支援ツール（変電）(20250430)\点検報告書(自動保存分)\25062045神戸港変電所-6TrB Ry-2025.07.02.xls</t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</si>
  <si>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</si>
  <si>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</si>
  <si>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←マクロでD2のファイルのD3アドレスを参照して判断する</t>
    <rPh sb="20" eb="22">
      <t>サンショウ</t>
    </rPh>
    <rPh sb="24" eb="26">
      <t>ハンダン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</si>
  <si>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</si>
  <si>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←ListシートからVLOOKUP関数</t>
    <rPh sb="17" eb="19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</si>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</sst>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1:F57"/>
  <sheetViews>
    <sheetView tabSelected="1" workbookViewId="0">
      <selection activeCell="E4" sqref="E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1" spans="1:6" x14ac:dyDescent="0.4">
      <c r="A1" t="s">
        <v>88</v>
      </c>
    </row>
    <row r="3" spans="1:6" x14ac:dyDescent="0.4">
      <c r="A3" t="s">
        <v>84</v>
      </c>
    </row>
    <row r="4" spans="1:6" x14ac:dyDescent="0.4">
      <c r="B4" t="s">
        <v>12</v>
      </c>
      <c r="C4" t="s">
        <v>68</v>
      </c>
      <c r="D4" s="7" t="s">
        <v>78</v>
      </c>
      <c r="F4" t="s">
        <v>89</v>
      </c>
    </row>
    <row r="5" spans="1:6" x14ac:dyDescent="0.4">
      <c r="B5" t="s">
        <v>1</v>
      </c>
      <c r="C5" t="s">
        <v>77</v>
      </c>
      <c r="D5" s="7" t="s">
        <v>3</v>
      </c>
    </row>
    <row r="6" spans="1:6" x14ac:dyDescent="0.4">
      <c r="B6" t="s">
        <v>39</v>
      </c>
      <c r="D6" s="1"/>
    </row>
    <row r="7" spans="1:6" x14ac:dyDescent="0.4">
      <c r="A7" t="s">
        <v>85</v>
      </c>
      <c r="D7" s="1"/>
    </row>
    <row r="8" spans="1:6" x14ac:dyDescent="0.4">
      <c r="B8" t="s">
        <v>38</v>
      </c>
      <c r="C8" t="s">
        <v>69</v>
      </c>
      <c r="D8" s="9" t="str">
        <f>TRIM(RIGHT(SUBSTITUTE(D4,"\",REPT(" ",100)),100))</f>
        <v>25062045神戸港変電所-6TrB Ry-2025.07.02.xls</v>
      </c>
      <c r="F8" t="s">
        <v>90</v>
      </c>
    </row>
    <row r="9" spans="1:6" x14ac:dyDescent="0.4">
      <c r="C9" t="s">
        <v>72</v>
      </c>
      <c r="D9" s="9" t="str">
        <f>IFERROR(LEFT(D8,FIND("神戸港変電所",D8)-1),"")</f>
        <v>25062045</v>
      </c>
    </row>
    <row r="10" spans="1:6" x14ac:dyDescent="0.4">
      <c r="C10" t="s">
        <v>73</v>
      </c>
      <c r="D10" s="9" t="str">
        <f>IFERROR(MID(D8,LEN(D9)+1,FIND("所-",D8)-LEN(D9)),"")</f>
        <v>神戸港変電所</v>
      </c>
    </row>
    <row r="11" spans="1:6" x14ac:dyDescent="0.4">
      <c r="C11" t="s">
        <v>74</v>
      </c>
      <c r="D11" s="9" t="str">
        <f>IFERROR(MID(D8,FIND("所-",D8)+LEN("所-"),FIND("-20",D8)-(FIND("所-",D8)+LEN("所-"))),"")</f>
        <v>6TrB Ry</v>
      </c>
    </row>
    <row r="12" spans="1:6" x14ac:dyDescent="0.4">
      <c r="C12" t="s">
        <v>75</v>
      </c>
      <c r="D12" s="9" t="str">
        <f>LEFT(RIGHT(D4,14),10)</f>
        <v>2025.07.02</v>
      </c>
    </row>
    <row r="13" spans="1:6" x14ac:dyDescent="0.4">
      <c r="C13" t="s">
        <v>36</v>
      </c>
      <c r="D13" s="10" t="s">
        <v>71</v>
      </c>
      <c r="E13" t="s">
        <v>81</v>
      </c>
    </row>
    <row r="14" spans="1:6" x14ac:dyDescent="0.4">
      <c r="C14" t="s">
        <v>70</v>
      </c>
      <c r="D14" s="10" t="s">
        <v>67</v>
      </c>
      <c r="E14" t="s">
        <v>83</v>
      </c>
    </row>
    <row r="15" spans="1:6" x14ac:dyDescent="0.4">
      <c r="C15" t="s">
        <v>21</v>
      </c>
      <c r="D15" s="10" t="s">
        <v>35</v>
      </c>
      <c r="E15" t="s">
        <v>82</v>
      </c>
    </row>
    <row r="16" spans="1:6" x14ac:dyDescent="0.4">
      <c r="C16" t="s">
        <v>22</v>
      </c>
      <c r="D16" s="10" t="s">
        <v>34</v>
      </c>
      <c r="E16" t="s">
        <v>82</v>
      </c>
    </row>
    <row r="18" spans="1:4" x14ac:dyDescent="0.4">
      <c r="A18" t="s">
        <v>86</v>
      </c>
      <c r="C18" s="1"/>
    </row>
    <row r="19" spans="1:4" x14ac:dyDescent="0.4">
      <c r="A19" t="s">
        <v>87</v>
      </c>
      <c r="B19" t="s">
        <v>50</v>
      </c>
      <c r="C19" s="1" t="s">
        <v>51</v>
      </c>
      <c r="D19" t="s">
        <v>23</v>
      </c>
    </row>
    <row r="20" spans="1:4" x14ac:dyDescent="0.4">
      <c r="A20">
        <v>1</v>
      </c>
      <c r="B20">
        <v>1</v>
      </c>
      <c r="C20" t="s">
        <v>42</v>
      </c>
      <c r="D20" s="6" t="s">
        <v>2</v>
      </c>
    </row>
    <row r="21" spans="1:4" x14ac:dyDescent="0.4">
      <c r="A21">
        <v>1</v>
      </c>
      <c r="B21">
        <v>2</v>
      </c>
      <c r="C21" t="s">
        <v>43</v>
      </c>
      <c r="D21" s="7" t="s">
        <v>41</v>
      </c>
    </row>
    <row r="22" spans="1:4" x14ac:dyDescent="0.4">
      <c r="A22">
        <v>1</v>
      </c>
      <c r="B22">
        <v>3</v>
      </c>
      <c r="C22" t="s">
        <v>44</v>
      </c>
      <c r="D22" s="7" t="s">
        <v>47</v>
      </c>
    </row>
    <row r="23" spans="1:4" x14ac:dyDescent="0.4">
      <c r="A23">
        <v>1</v>
      </c>
      <c r="B23">
        <v>4</v>
      </c>
      <c r="C23" t="s">
        <v>45</v>
      </c>
      <c r="D23" s="7" t="s">
        <v>48</v>
      </c>
    </row>
    <row r="24" spans="1:4" x14ac:dyDescent="0.4">
      <c r="A24">
        <v>1</v>
      </c>
      <c r="B24">
        <v>5</v>
      </c>
      <c r="C24" t="s">
        <v>46</v>
      </c>
      <c r="D24" s="7" t="s">
        <v>76</v>
      </c>
    </row>
    <row r="25" spans="1:4" x14ac:dyDescent="0.4">
      <c r="A25">
        <v>1</v>
      </c>
      <c r="B25">
        <v>6</v>
      </c>
      <c r="C25" t="s">
        <v>79</v>
      </c>
      <c r="D25" s="7" t="s">
        <v>49</v>
      </c>
    </row>
    <row r="26" spans="1:4" x14ac:dyDescent="0.4">
      <c r="A26">
        <v>1</v>
      </c>
      <c r="B26">
        <v>7</v>
      </c>
      <c r="C26" t="s">
        <v>80</v>
      </c>
      <c r="D26" s="8" t="str">
        <f ca="1">TEXT(TODAY(),"YYYY.MM.DD")</f>
        <v>2025.07.05</v>
      </c>
    </row>
    <row r="27" spans="1:4" x14ac:dyDescent="0.4">
      <c r="A27">
        <v>1</v>
      </c>
      <c r="B27">
        <v>6</v>
      </c>
      <c r="C27" t="s">
        <v>79</v>
      </c>
      <c r="D27" s="7" t="s">
        <v>49</v>
      </c>
    </row>
    <row r="28" spans="1:4" x14ac:dyDescent="0.4">
      <c r="A28">
        <v>1</v>
      </c>
      <c r="B28">
        <v>7</v>
      </c>
      <c r="C28" t="s">
        <v>80</v>
      </c>
      <c r="D28" s="8" t="str">
        <f ca="1">TEXT(TODAY(),"YYYY.MM.DD")</f>
        <v>2025.07.05</v>
      </c>
    </row>
    <row r="30" spans="1:4" x14ac:dyDescent="0.4">
      <c r="A30">
        <v>2</v>
      </c>
      <c r="B30">
        <v>1</v>
      </c>
      <c r="C30" t="s">
        <v>42</v>
      </c>
      <c r="D30" s="7" t="s">
        <v>53</v>
      </c>
    </row>
    <row r="31" spans="1:4" x14ac:dyDescent="0.4">
      <c r="A31">
        <v>2</v>
      </c>
      <c r="B31">
        <v>2</v>
      </c>
      <c r="C31" t="s">
        <v>43</v>
      </c>
      <c r="D31" s="7" t="s">
        <v>53</v>
      </c>
    </row>
    <row r="32" spans="1:4" x14ac:dyDescent="0.4">
      <c r="A32">
        <v>2</v>
      </c>
      <c r="B32">
        <v>3</v>
      </c>
      <c r="C32" t="s">
        <v>44</v>
      </c>
      <c r="D32" s="7" t="s">
        <v>54</v>
      </c>
    </row>
    <row r="33" spans="1:4" x14ac:dyDescent="0.4">
      <c r="A33">
        <v>2</v>
      </c>
      <c r="B33">
        <v>4</v>
      </c>
      <c r="C33" t="s">
        <v>45</v>
      </c>
      <c r="D33" s="7" t="s">
        <v>54</v>
      </c>
    </row>
    <row r="35" spans="1:4" x14ac:dyDescent="0.4">
      <c r="A35">
        <v>3</v>
      </c>
      <c r="B35">
        <v>1</v>
      </c>
      <c r="C35" t="s">
        <v>42</v>
      </c>
      <c r="D35" s="7" t="s">
        <v>65</v>
      </c>
    </row>
    <row r="36" spans="1:4" x14ac:dyDescent="0.4">
      <c r="A36">
        <v>3</v>
      </c>
      <c r="B36">
        <v>2</v>
      </c>
      <c r="C36" t="s">
        <v>43</v>
      </c>
      <c r="D36" s="7" t="s">
        <v>65</v>
      </c>
    </row>
    <row r="37" spans="1:4" x14ac:dyDescent="0.4">
      <c r="A37">
        <v>3</v>
      </c>
      <c r="B37">
        <v>3</v>
      </c>
      <c r="C37" t="s">
        <v>44</v>
      </c>
      <c r="D37" s="7" t="s">
        <v>54</v>
      </c>
    </row>
    <row r="38" spans="1:4" x14ac:dyDescent="0.4">
      <c r="A38">
        <v>3</v>
      </c>
      <c r="B38">
        <v>4</v>
      </c>
      <c r="C38" t="s">
        <v>45</v>
      </c>
      <c r="D38" s="7" t="s">
        <v>54</v>
      </c>
    </row>
    <row r="39" spans="1:4" x14ac:dyDescent="0.4">
      <c r="A39">
        <v>3</v>
      </c>
      <c r="B39">
        <v>3</v>
      </c>
      <c r="C39" t="s">
        <v>44</v>
      </c>
      <c r="D39" s="7" t="s">
        <v>55</v>
      </c>
    </row>
    <row r="40" spans="1:4" x14ac:dyDescent="0.4">
      <c r="A40">
        <v>3</v>
      </c>
      <c r="B40">
        <v>4</v>
      </c>
      <c r="C40" t="s">
        <v>45</v>
      </c>
      <c r="D40" s="7" t="s">
        <v>55</v>
      </c>
    </row>
    <row r="42" spans="1:4" x14ac:dyDescent="0.4">
      <c r="A42">
        <v>4</v>
      </c>
      <c r="B42">
        <v>1</v>
      </c>
      <c r="C42" t="s">
        <v>42</v>
      </c>
      <c r="D42" s="7" t="s">
        <v>64</v>
      </c>
    </row>
    <row r="43" spans="1:4" x14ac:dyDescent="0.4">
      <c r="A43">
        <v>4</v>
      </c>
      <c r="B43">
        <v>2</v>
      </c>
      <c r="C43" t="s">
        <v>43</v>
      </c>
      <c r="D43" s="7" t="s">
        <v>64</v>
      </c>
    </row>
    <row r="44" spans="1:4" x14ac:dyDescent="0.4">
      <c r="A44">
        <v>4</v>
      </c>
      <c r="B44">
        <v>3</v>
      </c>
      <c r="C44" t="s">
        <v>44</v>
      </c>
      <c r="D44" s="7" t="s">
        <v>54</v>
      </c>
    </row>
    <row r="45" spans="1:4" x14ac:dyDescent="0.4">
      <c r="A45">
        <v>4</v>
      </c>
      <c r="B45">
        <v>4</v>
      </c>
      <c r="C45" t="s">
        <v>45</v>
      </c>
      <c r="D45" s="7" t="s">
        <v>54</v>
      </c>
    </row>
    <row r="47" spans="1:4" x14ac:dyDescent="0.4">
      <c r="A47">
        <v>5</v>
      </c>
      <c r="B47">
        <v>1</v>
      </c>
      <c r="C47" t="s">
        <v>42</v>
      </c>
      <c r="D47" s="7" t="s">
        <v>66</v>
      </c>
    </row>
    <row r="48" spans="1:4" x14ac:dyDescent="0.4">
      <c r="A48">
        <v>5</v>
      </c>
      <c r="B48">
        <v>2</v>
      </c>
      <c r="C48" t="s">
        <v>43</v>
      </c>
      <c r="D48" s="7" t="s">
        <v>66</v>
      </c>
    </row>
    <row r="49" spans="1:4" x14ac:dyDescent="0.4">
      <c r="A49">
        <v>5</v>
      </c>
      <c r="B49">
        <v>3</v>
      </c>
      <c r="C49" t="s">
        <v>44</v>
      </c>
      <c r="D49" s="7" t="s">
        <v>56</v>
      </c>
    </row>
    <row r="50" spans="1:4" x14ac:dyDescent="0.4">
      <c r="A50">
        <v>5</v>
      </c>
      <c r="B50">
        <v>4</v>
      </c>
      <c r="C50" t="s">
        <v>45</v>
      </c>
      <c r="D50" s="7" t="s">
        <v>56</v>
      </c>
    </row>
    <row r="51" spans="1:4" x14ac:dyDescent="0.4">
      <c r="A51">
        <v>5</v>
      </c>
      <c r="B51">
        <v>5</v>
      </c>
      <c r="C51" t="s">
        <v>46</v>
      </c>
      <c r="D51" s="7" t="s">
        <v>57</v>
      </c>
    </row>
    <row r="52" spans="1:4" x14ac:dyDescent="0.4">
      <c r="A52">
        <v>5</v>
      </c>
      <c r="B52">
        <v>5</v>
      </c>
      <c r="C52" t="s">
        <v>46</v>
      </c>
      <c r="D52" s="7" t="s">
        <v>58</v>
      </c>
    </row>
    <row r="53" spans="1:4" x14ac:dyDescent="0.4">
      <c r="A53">
        <v>5</v>
      </c>
      <c r="B53">
        <v>5</v>
      </c>
      <c r="C53" t="s">
        <v>46</v>
      </c>
      <c r="D53" s="7" t="s">
        <v>59</v>
      </c>
    </row>
    <row r="54" spans="1:4" x14ac:dyDescent="0.4">
      <c r="A54">
        <v>5</v>
      </c>
      <c r="B54">
        <v>5</v>
      </c>
      <c r="C54" t="s">
        <v>46</v>
      </c>
      <c r="D54" s="7" t="s">
        <v>60</v>
      </c>
    </row>
    <row r="55" spans="1:4" x14ac:dyDescent="0.4">
      <c r="A55">
        <v>5</v>
      </c>
      <c r="B55">
        <v>5</v>
      </c>
      <c r="C55" t="s">
        <v>46</v>
      </c>
      <c r="D55" s="7" t="s">
        <v>61</v>
      </c>
    </row>
    <row r="56" spans="1:4" x14ac:dyDescent="0.4">
      <c r="A56">
        <v>5</v>
      </c>
      <c r="B56">
        <v>5</v>
      </c>
      <c r="C56" t="s">
        <v>46</v>
      </c>
      <c r="D56" s="7" t="s">
        <v>62</v>
      </c>
    </row>
    <row r="57" spans="1:4" x14ac:dyDescent="0.4">
      <c r="A57">
        <v>5</v>
      </c>
      <c r="B57">
        <v>5</v>
      </c>
      <c r="C57" t="s">
        <v>46</v>
      </c>
      <c r="D57" s="7" t="s">
        <v>63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K9"/>
  <sheetViews>
    <sheetView workbookViewId="0">
      <selection activeCell="K10" sqref="K10"/>
    </sheetView>
  </sheetViews>
  <sheetFormatPr defaultRowHeight="18.75" x14ac:dyDescent="0.4"/>
  <cols>
    <col min="4" max="4" width="9" style="3"/>
    <col min="6" max="6" width="24.5" bestFit="1" customWidth="1"/>
    <col min="7" max="7" width="13.125" style="4" customWidth="1"/>
    <col min="9" max="9" width="13" bestFit="1" customWidth="1"/>
    <col min="11" max="11" width="26.25" style="4" bestFit="1" customWidth="1"/>
  </cols>
  <sheetData>
    <row r="1" spans="1:11" x14ac:dyDescent="0.4">
      <c r="A1" s="2" t="s">
        <v>37</v>
      </c>
      <c r="B1" t="s">
        <v>21</v>
      </c>
      <c r="C1" t="s">
        <v>22</v>
      </c>
      <c r="E1" t="s">
        <v>38</v>
      </c>
      <c r="F1" t="s">
        <v>36</v>
      </c>
      <c r="G1" s="4" t="s">
        <v>0</v>
      </c>
      <c r="I1" t="s">
        <v>40</v>
      </c>
      <c r="J1" t="s">
        <v>50</v>
      </c>
      <c r="K1" s="5" t="s">
        <v>51</v>
      </c>
    </row>
    <row r="2" spans="1:11" x14ac:dyDescent="0.4">
      <c r="B2" t="s">
        <v>24</v>
      </c>
      <c r="C2" t="s">
        <v>28</v>
      </c>
      <c r="F2" t="s">
        <v>5</v>
      </c>
      <c r="G2" s="4" t="s">
        <v>13</v>
      </c>
      <c r="H2" t="s">
        <v>52</v>
      </c>
      <c r="J2">
        <v>1</v>
      </c>
      <c r="K2" s="4" t="s">
        <v>42</v>
      </c>
    </row>
    <row r="3" spans="1:11" x14ac:dyDescent="0.4">
      <c r="B3" t="s">
        <v>25</v>
      </c>
      <c r="C3" t="s">
        <v>29</v>
      </c>
      <c r="F3" t="s">
        <v>4</v>
      </c>
      <c r="G3" s="4" t="s">
        <v>14</v>
      </c>
      <c r="H3" t="s">
        <v>52</v>
      </c>
      <c r="J3">
        <v>2</v>
      </c>
      <c r="K3" s="4" t="s">
        <v>43</v>
      </c>
    </row>
    <row r="4" spans="1:11" x14ac:dyDescent="0.4">
      <c r="B4" t="s">
        <v>26</v>
      </c>
      <c r="C4" t="s">
        <v>30</v>
      </c>
      <c r="F4" t="s">
        <v>7</v>
      </c>
      <c r="G4" s="4" t="s">
        <v>15</v>
      </c>
      <c r="H4" t="s">
        <v>52</v>
      </c>
      <c r="J4">
        <v>3</v>
      </c>
      <c r="K4" s="4" t="s">
        <v>44</v>
      </c>
    </row>
    <row r="5" spans="1:11" x14ac:dyDescent="0.4">
      <c r="B5" t="s">
        <v>27</v>
      </c>
      <c r="C5" t="s">
        <v>31</v>
      </c>
      <c r="F5" t="s">
        <v>6</v>
      </c>
      <c r="G5" s="4" t="s">
        <v>16</v>
      </c>
      <c r="H5" t="s">
        <v>52</v>
      </c>
      <c r="J5">
        <v>4</v>
      </c>
      <c r="K5" s="4" t="s">
        <v>45</v>
      </c>
    </row>
    <row r="6" spans="1:11" x14ac:dyDescent="0.4">
      <c r="C6" t="s">
        <v>26</v>
      </c>
      <c r="F6" t="s">
        <v>9</v>
      </c>
      <c r="G6" s="4" t="s">
        <v>17</v>
      </c>
      <c r="H6" t="s">
        <v>52</v>
      </c>
      <c r="J6">
        <v>5</v>
      </c>
      <c r="K6" s="4" t="s">
        <v>46</v>
      </c>
    </row>
    <row r="7" spans="1:11" x14ac:dyDescent="0.4">
      <c r="C7" t="s">
        <v>32</v>
      </c>
      <c r="F7" t="s">
        <v>8</v>
      </c>
      <c r="G7" s="4" t="s">
        <v>18</v>
      </c>
      <c r="H7" t="s">
        <v>52</v>
      </c>
      <c r="J7">
        <v>6</v>
      </c>
      <c r="K7" t="s">
        <v>79</v>
      </c>
    </row>
    <row r="8" spans="1:11" x14ac:dyDescent="0.4">
      <c r="C8" t="s">
        <v>27</v>
      </c>
      <c r="F8" t="s">
        <v>10</v>
      </c>
      <c r="G8" s="4" t="s">
        <v>19</v>
      </c>
      <c r="H8" t="s">
        <v>52</v>
      </c>
      <c r="J8">
        <v>7</v>
      </c>
      <c r="K8" t="s">
        <v>80</v>
      </c>
    </row>
    <row r="9" spans="1:11" x14ac:dyDescent="0.4">
      <c r="C9" t="s">
        <v>33</v>
      </c>
      <c r="F9" t="s">
        <v>11</v>
      </c>
      <c r="G9" s="4" t="s">
        <v>20</v>
      </c>
      <c r="H9" t="s">
        <v>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Settings</vt:lpstr>
      <vt:lpstr>List</vt:lpstr>
      <vt:lpstr>管内List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2025-07-05T00:56:41Z</dcterms:modified>
</cp:coreProperties>
</file>