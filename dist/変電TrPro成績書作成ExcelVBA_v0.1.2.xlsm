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.vscode\Github\VBA-Inspection-Report-Generator\dist\"/>
    </mc:Choice>
  </mc:AlternateContent>
  <xr:revisionPtr revIDLastSave="0" documentId="13_ncr:1_{00518DA8-CEE8-4BD3-AF54-5BFBA28E3E8D}" xr6:coauthVersionLast="47" xr6:coauthVersionMax="47" xr10:uidLastSave="{00000000-0000-0000-0000-000000000000}"/>
  <bookViews>
    <workbookView xWindow="-105" yWindow="0" windowWidth="14610" windowHeight="15585" xr2:uid="{DB9141FF-87F3-445C-B2FC-DD3FD86F67D9}"/>
  </bookViews>
  <sheets>
    <sheet name="Settings" sheetId="1" r:id="rId1"/>
    <sheet name="List" sheetId="2" r:id="rId2"/>
    <sheet name="管内List" sheetId="3" r:id="rId3"/>
    <sheet name="DebugLog" sheetId="6" r:id="rId4"/>
    <sheet name="ErrorLog" sheetId="5" r:id="rId5"/>
    <sheet name="Log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D11" i="1"/>
  <c r="D17" i="1"/>
  <c r="D20" i="1" s="1"/>
  <c r="D43" i="1"/>
  <c r="D41" i="1"/>
  <c r="D18" i="1" l="1"/>
  <c r="D19" i="1" s="1"/>
</calcChain>
</file>

<file path=xl/sharedStrings.xml><?xml version="1.0" encoding="utf-8"?>
<sst xmlns="http://schemas.openxmlformats.org/spreadsheetml/2006/main" count="935" uniqueCount="435">
  <si>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</si>
  <si>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</si>
  <si>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</si>
  <si>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</si>
  <si>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</si>
  <si>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</si>
  <si>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</si>
  <si>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</si>
  <si>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</si>
  <si>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</si>
  <si>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</si>
  <si>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</si>
  <si>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</si>
  <si>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</si>
  <si>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</si>
  <si>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</si>
  <si>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</si>
  <si>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</si>
  <si>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</si>
  <si>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</si>
  <si>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</si>
  <si>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</si>
  <si>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</si>
  <si>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</si>
  <si>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</si>
  <si>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</si>
  <si>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</si>
  <si>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</si>
  <si>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</si>
  <si>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</si>
  <si>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</si>
  <si>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</si>
  <si>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</si>
  <si>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</si>
  <si>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</si>
  <si>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</si>
  <si>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</si>
  <si>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</si>
  <si>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</si>
  <si>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</si>
  <si>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</si>
  <si>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</si>
  <si>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</si>
  <si>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</si>
  <si>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</si>
  <si>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</si>
  <si>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</si>
  <si>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</si>
  <si>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</si>
  <si>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</si>
  <si>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</si>
  <si>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</si>
  <si>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</si>
  <si>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</si>
  <si>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</si>
  <si>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</si>
  <si>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</si>
  <si>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</si>
  <si>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</si>
  <si>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</si>
  <si>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</si>
  <si>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</si>
  <si>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</si>
  <si>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</si>
  <si>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</si>
  <si>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</si>
  <si>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</si>
  <si>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</si>
  <si>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</si>
  <si>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</si>
  <si>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</si>
  <si>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</si>
  <si>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</si>
  <si>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</si>
  <si>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</si>
  <si>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</si>
  <si>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</si>
  <si>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</si>
  <si>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</si>
  <si>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</si>
  <si>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</si>
  <si>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</si>
  <si>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</si>
  <si>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</si>
  <si>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</si>
  <si>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</si>
  <si>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</si>
  <si>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</si>
  <si>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</si>
  <si>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</si>
  <si>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</si>
  <si>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</si>
  <si>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</si>
  <si>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</si>
  <si>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</si>
  <si>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画面描画を再開し、処理を終了します。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</si>
  <si>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</si>
  <si>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</si>
  <si>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</si>
  <si>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</si>
  <si>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</si>
  <si>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</si>
  <si>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</si>
  <si>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</si>
  <si>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>出力ブック_保存先フォルダパス</t>
    <rPh sb="0" eb="2">
      <t>シュツリョク</t>
    </rPh>
    <phoneticPr fontId="1"/>
  </si>
  <si>
    <t>C:\Users\N100\.vscode\Github\VBA-Inspection-Report-Generator\dist</t>
  </si>
  <si>
    <t>フォルダパス</t>
    <phoneticPr fontId="1"/>
  </si>
  <si>
    <t>N100</t>
    <phoneticPr fontId="1"/>
  </si>
  <si>
    <t>C:\Users\N100\.vscode\Github\</t>
    <phoneticPr fontId="1"/>
  </si>
  <si>
    <t>機器</t>
    <rPh sb="0" eb="2">
      <t>キキ</t>
    </rPh>
    <phoneticPr fontId="1"/>
  </si>
  <si>
    <t>パス切り替え</t>
    <rPh sb="2" eb="3">
      <t>キ</t>
    </rPh>
    <rPh sb="4" eb="5">
      <t>カ</t>
    </rPh>
    <phoneticPr fontId="1"/>
  </si>
  <si>
    <t>C:\Users\N100\.vscode\Github\VBA-Inspection-Report-Generator\dist\_Template.xlsm\日新Ｃｕｂ変電所-123TrB Ry-2025.99.99（データ入力中）.xls</t>
  </si>
  <si>
    <t>C:\Users\N100\.vscode\Github\VBA-Inspection-Report-Generator\dist\_Template.xlsm\日新Ｃｕｂ変電所-456TrB Ry-2025.99.99（データ入力中）.xls</t>
  </si>
  <si>
    <t>C:\Users\N100\.vscode\Github\VBA-Inspection-Report-Generator\dist\_Template.xlsm\日新Ｄ１変電所-123TrB Ry-2025.99.99（データ入力中）.xls</t>
  </si>
  <si>
    <t>C:\Users\N100\.vscode\Github\VBA-Inspection-Report-Generator\dist\_Template.xlsm\日新Ｄ１変電所-456TrB Ry-2025.99.99（データ入力中）.xls</t>
  </si>
  <si>
    <t>C:\Users\N100\.vscode\Github\VBA-Inspection-Report-Generator\dist\_Template.xlsm\日立Ｃｕｂ変電所-123TrB Ry-2025.99.99（データ入力中）.xls</t>
  </si>
  <si>
    <t>C:\Users\N100\.vscode\Github\VBA-Inspection-Report-Generator\dist\_Template.xlsm\日立Ｃｕｂ変電所-456TrB Ry-2025.99.99（データ入力中）.xls</t>
  </si>
  <si>
    <t>C:\Users\N100\.vscode\Github\VBA-Inspection-Report-Generator\dist\_Template.xlsm\日立自立盤変電所-123TrB Ry-2025.99.99（データ入力中）.xls</t>
  </si>
  <si>
    <t>C:\Users\N100\.vscode\Github\VBA-Inspection-Report-Generator\dist\_Template.xlsm\日立自立盤変電所-456TrB Ry-2025.99.99（データ入力中）.xls</t>
  </si>
  <si>
    <t>C:\Users\N100\.vscode\Github\VBA-Inspection-Report-Generator\dist\_input.xlsm\13042771神戸港変電所-6TrBRy-2013.05.02.xls</t>
    <phoneticPr fontId="1"/>
  </si>
  <si>
    <t>旧ブックパス: C:\Users\N100\.vscode\Github\VBA-Inspection-Report-Generator\dist\_input.xlsm\13042771神戸港変電所-6TrBRy-2013.05.02.xls</t>
  </si>
  <si>
    <t>判定アドレス: 'T87'!T7</t>
  </si>
  <si>
    <t>ワークブックを開きます: C:\Users\N100\.vscode\Github\VBA-Inspection-Report-Generator\dist\_input.xlsm\13042771神戸港変電所-6TrBRy-2013.05.02.xls</t>
  </si>
  <si>
    <t>旧ブックから型式を取得します。</t>
  </si>
  <si>
    <t>旧ブックの値取得を開始: 'T87'!T7</t>
  </si>
  <si>
    <t>アドレス解析を開始: 'T87'!T7</t>
  </si>
  <si>
    <t>解析成功: シート名='T87', アドレス='T7'</t>
  </si>
  <si>
    <t>値を取得しました: SYT-L-4E1</t>
  </si>
  <si>
    <t>取得した型式: SYT-L-4E1</t>
  </si>
  <si>
    <t>Excelの数式を再計算しました。</t>
  </si>
  <si>
    <t>再計算後のテンプレートパス: C:\Users\N100\Desktop\点検報告書作成支援ツール（変電）(20250430)\点検報告書(自動保存分)\日立自立盤変電所-456TrB Ry-2025.99.99（データ入力中）.xls</t>
  </si>
  <si>
    <t>新ブックを作成します。</t>
  </si>
  <si>
    <t>新しいブックの作成を開始します。</t>
  </si>
  <si>
    <t>テンプレートパス: C:\Users\N100\Desktop\点検報告書作成支援ツール（変電）(20250430)\点検報告書(自動保存分)\日立自立盤変電所-456TrB Ry-2025.99.99（データ入力中）.xls</t>
  </si>
  <si>
    <t>SettingsシートD9から保存先フォルダを取得しました: C:\Users\N100\.vscode\Github\VBA-Inspection-Report-Generator\dist</t>
  </si>
  <si>
    <t>新ブック作成</t>
  </si>
  <si>
    <t>新しいブックの作成が完了しました。</t>
  </si>
  <si>
    <t>データ移行処理を開始します。</t>
  </si>
  <si>
    <t>データ移行処理(ExecuteAllTasks)を開始します。</t>
  </si>
  <si>
    <t>Settingsシートの最終行: 72</t>
  </si>
  <si>
    <t>SettingsシートのA19からループを開始します。</t>
  </si>
  <si>
    <t>19行目: , , 変電所-, 神戸港変電所</t>
  </si>
  <si>
    <t>20行目: , , TrB Ry-, 6TrBRy</t>
  </si>
  <si>
    <t>22行目: , , 型式, SYT-L-4E1</t>
  </si>
  <si>
    <t>23行目: , , 種類, 日立自立盤変電所-456TrB</t>
  </si>
  <si>
    <t>24行目: , , 新ブック_ファイルパス, C:\Users\N100\Desktop\点検報告書作成支援ツール（変電）(20250430)\点検報告書(自動保存分)\日立自立盤変電所-456TrB Ry-2025.99.99（データ入力中）.xls</t>
  </si>
  <si>
    <t>25行目: , , 本部, 大阪南</t>
  </si>
  <si>
    <t>26行目: , , 管内, 南大阪</t>
  </si>
  <si>
    <t xml:space="preserve">27行目: , , , </t>
  </si>
  <si>
    <t xml:space="preserve">28行目: , , , </t>
  </si>
  <si>
    <t xml:space="preserve">29行目: , , , </t>
  </si>
  <si>
    <t xml:space="preserve">30行目: , , , </t>
  </si>
  <si>
    <t xml:space="preserve">31行目: , , , </t>
  </si>
  <si>
    <t xml:space="preserve">32行目: , , , </t>
  </si>
  <si>
    <t xml:space="preserve">33行目: ステップ3：処理内容の定義, , , </t>
  </si>
  <si>
    <t>34行目: シートNo, 処理種類., 処理内容, 内容</t>
  </si>
  <si>
    <t>35行目: 1, 1, 旧ブック_シート名, 統一表紙</t>
  </si>
  <si>
    <t>36行目: 1, 2, 新ブック_シート名, 共通(77kV以下)</t>
  </si>
  <si>
    <t>37行目: 1, 3, 旧ブック_コピー元アドレス, A4:CH62</t>
  </si>
  <si>
    <t>38行目: 1, 4, 新ブック_コピー先アドレス, A4</t>
  </si>
  <si>
    <t>コピー処理実行: 旧[統一表紙!A4:CH62] -&gt; 新[共通(77kV以下)!A4]</t>
  </si>
  <si>
    <t>コピー処理</t>
  </si>
  <si>
    <t>旧: '統一表紙'!A4:CH62 -&gt; 新: '共通(77kV以下)'!A4</t>
  </si>
  <si>
    <t>39行目: 1, 5, 新ブック_削除するアドレス, BO22,BO23,BO24,BJ25,AF30:AF41,BB61,BG61,BG62,BL61,BL62,BQ61:CA61</t>
  </si>
  <si>
    <t>削除処理実行: 対象[共通(77kV以下)!BO22,BO23,BO24,BJ25,AF30:AF41,BB61,BG61,BG62,BL61,BL62,BQ61:CA61]</t>
  </si>
  <si>
    <t>アドレス文字列をRangeオブジェクトに変換します: BO22,BO23,BO24,BJ25,AF30:AF41,BB61,BG61,BG62,BL61,BL62,BQ61:CA61</t>
  </si>
  <si>
    <t>Rangeオブジェクトの変換に成功しました。</t>
  </si>
  <si>
    <t>40行目: 1, 6, 新ブック_入力するアドレス, P14,AH14</t>
  </si>
  <si>
    <t>41行目: 1, 7, 新ブック_入力する内容, 2025.07.09</t>
  </si>
  <si>
    <t>入力処理実行: 対象[共通(77kV以下)!P14,AH14] に '2025.07.09' を入力</t>
  </si>
  <si>
    <t>アドレス文字列をRangeオブジェクトに変換します: P14,AH14</t>
  </si>
  <si>
    <t>入力処理</t>
  </si>
  <si>
    <t>対象: '共通(77kV以下)'!P14,AH14, 内容: 2025.07.09</t>
  </si>
  <si>
    <t>42行目: 1, 6, 新ブック_入力するアドレス, P14,AH14</t>
  </si>
  <si>
    <t>43行目: 1, 7, 新ブック_入力する内容, 2025.07.09</t>
  </si>
  <si>
    <t xml:space="preserve">44行目: , , , </t>
  </si>
  <si>
    <t>45行目: 2, 1, 旧ブック_シート名, T87</t>
  </si>
  <si>
    <t>46行目: 2, 2, 新ブック_シート名, T87</t>
  </si>
  <si>
    <t>47行目: 2, 3, 旧ブック_コピー元アドレス, A5:CH10</t>
  </si>
  <si>
    <t>48行目: 2, 4, 新ブック_コピー先アドレス, A5:CH10</t>
  </si>
  <si>
    <t>コピー処理実行: 旧[T87!A5:CH10] -&gt; 新[T87!A5:CH10]</t>
  </si>
  <si>
    <t>旧: 'T87'!A5:CH10 -&gt; 新: 'T87'!A5:CH10</t>
  </si>
  <si>
    <t xml:space="preserve">49行目: , , , </t>
  </si>
  <si>
    <t>50行目: 3, 1, 旧ブック_シート名, 51</t>
  </si>
  <si>
    <t>51行目: 3, 2, 新ブック_シート名, 51</t>
  </si>
  <si>
    <t>52行目: 3, 3, 旧ブック_コピー元アドレス, A5:CH10</t>
  </si>
  <si>
    <t>53行目: 3, 4, 新ブック_コピー先アドレス, A5:CH10</t>
  </si>
  <si>
    <t>コピー処理実行: 旧[51!A5:CH10] -&gt; 新[51!A5:CH10]</t>
  </si>
  <si>
    <t>旧: '51'!A5:CH10 -&gt; 新: '51'!A5:CH10</t>
  </si>
  <si>
    <t>54行目: 3, 3, 旧ブック_コピー元アドレス, A45:CH49</t>
  </si>
  <si>
    <t>55行目: 3, 4, 新ブック_コピー先アドレス, A45:CH49</t>
  </si>
  <si>
    <t>コピー処理実行: 旧[51!A45:CH49] -&gt; 新[51!A45:CH49]</t>
  </si>
  <si>
    <t>旧: '51'!A45:CH49 -&gt; 新: '51'!A45:CH49</t>
  </si>
  <si>
    <t xml:space="preserve">56行目: , , , </t>
  </si>
  <si>
    <t>57行目: 4, 1, 旧ブック_シート名, 84</t>
  </si>
  <si>
    <t>58行目: 4, 2, 新ブック_シート名, 84</t>
  </si>
  <si>
    <t>59行目: 4, 3, 旧ブック_コピー元アドレス, A5:CH10</t>
  </si>
  <si>
    <t>60行目: 4, 4, 新ブック_コピー先アドレス, A5:CH10</t>
  </si>
  <si>
    <t>コピー処理実行: 旧[84!A5:CH10] -&gt; 新[84!A5:CH10]</t>
  </si>
  <si>
    <t>旧: '84'!A5:CH10 -&gt; 新: '84'!A5:CH10</t>
  </si>
  <si>
    <t xml:space="preserve">61行目: , , , </t>
  </si>
  <si>
    <t>62行目: 5, 1, 旧ブック_シート名, ﾀｲﾏｰ</t>
  </si>
  <si>
    <t>63行目: 5, 2, 新ブック_シート名, ﾀｲﾏｰ</t>
  </si>
  <si>
    <t>64行目: 5, 3, 旧ブック_コピー元アドレス, A5:CH67</t>
  </si>
  <si>
    <t>65行目: 5, 4, 新ブック_コピー先アドレス, A5:CH67</t>
  </si>
  <si>
    <t>コピー処理実行: 旧[ﾀｲﾏｰ!A5:CH67] -&gt; 新[ﾀｲﾏｰ!A5:CH67]</t>
  </si>
  <si>
    <t>旧: 'ﾀｲﾏｰ'!A5:CH67 -&gt; 新: 'ﾀｲﾏｰ'!A5:CH67</t>
  </si>
  <si>
    <t>66行目: 5, 5, 新ブック_削除するアドレス, AY11:CH12</t>
  </si>
  <si>
    <t>削除処理実行: 対象[ﾀｲﾏｰ!AY11:CH12]</t>
  </si>
  <si>
    <t>アドレス文字列をRangeオブジェクトに変換します: AY11:CH12</t>
  </si>
  <si>
    <t>67行目: 5, 5, 新ブック_削除するアドレス, AY20:CH21</t>
  </si>
  <si>
    <t>削除処理実行: 対象[ﾀｲﾏｰ!AY20:CH21]</t>
  </si>
  <si>
    <t>アドレス文字列をRangeオブジェクトに変換します: AY20:CH21</t>
  </si>
  <si>
    <t>68行目: 5, 5, 新ブック_削除するアドレス, AY29:CH30</t>
  </si>
  <si>
    <t>削除処理実行: 対象[ﾀｲﾏｰ!AY29:CH30]</t>
  </si>
  <si>
    <t>アドレス文字列をRangeオブジェクトに変換します: AY29:CH30</t>
  </si>
  <si>
    <t>69行目: 5, 5, 新ブック_削除するアドレス, AY38:CH39</t>
  </si>
  <si>
    <t>削除処理実行: 対象[ﾀｲﾏｰ!AY38:CH39]</t>
  </si>
  <si>
    <t>アドレス文字列をRangeオブジェクトに変換します: AY38:CH39</t>
  </si>
  <si>
    <t>70行目: 5, 5, 新ブック_削除するアドレス, AY47:CH48</t>
  </si>
  <si>
    <t>削除処理実行: 対象[ﾀｲﾏｰ!AY47:CH48]</t>
  </si>
  <si>
    <t>アドレス文字列をRangeオブジェクトに変換します: AY47:CH48</t>
  </si>
  <si>
    <t>71行目: 5, 5, 新ブック_削除するアドレス, AY56:CH57</t>
  </si>
  <si>
    <t>削除処理実行: 対象[ﾀｲﾏｰ!AY56:CH57]</t>
  </si>
  <si>
    <t>アドレス文字列をRangeオブジェクトに変換します: AY56:CH57</t>
  </si>
  <si>
    <t>72行目: 5, 5, 新ブック_削除するアドレス, AY65:CH66</t>
  </si>
  <si>
    <t>削除処理実行: 対象[ﾀｲﾏｰ!AY65:CH66]</t>
  </si>
  <si>
    <t>アドレス文字列をRangeオブジェクトに変換します: AY65:CH66</t>
  </si>
  <si>
    <t>すべてのタスクが完了しました。ブックを保存して閉じます。</t>
  </si>
  <si>
    <t>処理正常終了</t>
  </si>
  <si>
    <t>メイン処理が正常に終了しました。</t>
  </si>
  <si>
    <t>結合セル $BO$22:$CH$22 の内容を削除しました。</t>
  </si>
  <si>
    <t>結合セル $BO$23:$CH$23 の内容を削除しました。</t>
  </si>
  <si>
    <t>結合セル $BO$24:$CH$24 の内容を削除しました。</t>
  </si>
  <si>
    <t>結合セル $BJ$25:$CH$26 の内容を削除しました。</t>
  </si>
  <si>
    <t>結合セル $AF$30:$AQ$30 の内容を削除しました。</t>
  </si>
  <si>
    <t>結合セル $AF$31:$AQ$31 の内容を削除しました。</t>
  </si>
  <si>
    <t>結合セル $AF$32:$AQ$32 の内容を削除しました。</t>
  </si>
  <si>
    <t>結合セル $AF$33:$AQ$33 の内容を削除しました。</t>
  </si>
  <si>
    <t>結合セル $AF$34:$AQ$34 の内容を削除しました。</t>
  </si>
  <si>
    <t>結合セル $D$35:$AQ$41 の内容を削除しました。</t>
  </si>
  <si>
    <t>結合セル $BB$61:$BF$62 の内容を削除しました。</t>
  </si>
  <si>
    <t>結合セル $BG$61:$BK$61 の内容を削除しました。</t>
  </si>
  <si>
    <t>結合セル $BG$62:$BI$62 の内容を削除しました。</t>
  </si>
  <si>
    <t>結合セル $BL$61:$BP$61 の内容を削除しました。</t>
  </si>
  <si>
    <t>結合セル $BL$62:$BN$62 の内容を削除しました。</t>
  </si>
  <si>
    <t>結合セル $BQ$61:$BU$62 の内容を削除しました。</t>
  </si>
  <si>
    <t>結合セル $BV$61:$BZ$62 の内容を削除しました。</t>
  </si>
  <si>
    <t>結合セル $CA$61:$CH$62 の内容を削除しました。</t>
  </si>
  <si>
    <t>削除処理</t>
  </si>
  <si>
    <t>対象: '共通(77kV以下)'!BO22,BO23,BO24,BJ25,AF30:AF41,BB61,BG61,BG62,BL61,BL62,BQ61:CA61</t>
  </si>
  <si>
    <t>削除処理が正常に完了しました。</t>
  </si>
  <si>
    <t>結合セル $AY$11:$AZ$12 の内容を削除しました。</t>
  </si>
  <si>
    <t>結合セル $BA$11:$BE$12 の内容を削除しました。</t>
  </si>
  <si>
    <t>結合セル $BF$11:$BG$12 の内容を削除しました。</t>
  </si>
  <si>
    <t>結合セル $BH$11:$BL$12 の内容を削除しました。</t>
  </si>
  <si>
    <t>結合セル $BM$11:$BN$12 の内容を削除しました。</t>
  </si>
  <si>
    <t>結合セル $BO$11:$BS$12 の内容を削除しました。</t>
  </si>
  <si>
    <t>結合セル $BT$11:$BU$12 の内容を削除しました。</t>
  </si>
  <si>
    <t>結合セル $BV$11:$BZ$12 の内容を削除しました。</t>
  </si>
  <si>
    <t>結合セル $CA$11:$CB$12 の内容を削除しました。</t>
  </si>
  <si>
    <t>結合セル $CC$11:$CG$12 の内容を削除しました。</t>
  </si>
  <si>
    <t>セル $CH$11 の内容を削除しました。</t>
  </si>
  <si>
    <t>セル $CH$12 の内容を削除しました。</t>
  </si>
  <si>
    <t>対象: 'ﾀｲﾏｰ'!AY11:CH12</t>
  </si>
  <si>
    <t>結合セル $AY$20:$AZ$21 の内容を削除しました。</t>
  </si>
  <si>
    <t>結合セル $BA$20:$BE$21 の内容を削除しました。</t>
  </si>
  <si>
    <t>結合セル $BF$20:$BG$21 の内容を削除しました。</t>
  </si>
  <si>
    <t>結合セル $BH$20:$BL$21 の内容を削除しました。</t>
  </si>
  <si>
    <t>結合セル $BM$20:$BN$21 の内容を削除しました。</t>
  </si>
  <si>
    <t>結合セル $BO$20:$BS$21 の内容を削除しました。</t>
  </si>
  <si>
    <t>結合セル $BT$20:$BU$21 の内容を削除しました。</t>
  </si>
  <si>
    <t>結合セル $BV$20:$BZ$21 の内容を削除しました。</t>
  </si>
  <si>
    <t>結合セル $CA$20:$CB$21 の内容を削除しました。</t>
  </si>
  <si>
    <t>結合セル $CC$20:$CG$21 の内容を削除しました。</t>
  </si>
  <si>
    <t>セル $CH$20 の内容を削除しました。</t>
  </si>
  <si>
    <t>セル $CH$21 の内容を削除しました。</t>
  </si>
  <si>
    <t>対象: 'ﾀｲﾏｰ'!AY20:CH21</t>
  </si>
  <si>
    <t>結合セル $AY$29:$AZ$30 の内容を削除しました。</t>
  </si>
  <si>
    <t>結合セル $BA$29:$BE$30 の内容を削除しました。</t>
  </si>
  <si>
    <t>結合セル $BF$29:$BG$30 の内容を削除しました。</t>
  </si>
  <si>
    <t>結合セル $BH$29:$BL$30 の内容を削除しました。</t>
  </si>
  <si>
    <t>結合セル $BM$29:$BN$30 の内容を削除しました。</t>
  </si>
  <si>
    <t>結合セル $BO$29:$BS$30 の内容を削除しました。</t>
  </si>
  <si>
    <t>結合セル $BT$29:$BU$30 の内容を削除しました。</t>
  </si>
  <si>
    <t>結合セル $BV$29:$BZ$30 の内容を削除しました。</t>
  </si>
  <si>
    <t>結合セル $CA$29:$CB$30 の内容を削除しました。</t>
  </si>
  <si>
    <t>結合セル $CC$29:$CG$30 の内容を削除しました。</t>
  </si>
  <si>
    <t>セル $CH$29 の内容を削除しました。</t>
  </si>
  <si>
    <t>セル $CH$30 の内容を削除しました。</t>
  </si>
  <si>
    <t>対象: 'ﾀｲﾏｰ'!AY29:CH30</t>
  </si>
  <si>
    <t>結合セル $AY$38:$AZ$39 の内容を削除しました。</t>
  </si>
  <si>
    <t>結合セル $BA$38:$BE$39 の内容を削除しました。</t>
  </si>
  <si>
    <t>結合セル $BF$38:$BG$39 の内容を削除しました。</t>
  </si>
  <si>
    <t>結合セル $BH$38:$BL$39 の内容を削除しました。</t>
  </si>
  <si>
    <t>結合セル $BM$38:$BN$39 の内容を削除しました。</t>
  </si>
  <si>
    <t>結合セル $BO$38:$BS$39 の内容を削除しました。</t>
  </si>
  <si>
    <t>結合セル $BT$38:$BU$39 の内容を削除しました。</t>
  </si>
  <si>
    <t>結合セル $BV$38:$BZ$39 の内容を削除しました。</t>
  </si>
  <si>
    <t>結合セル $CA$38:$CB$39 の内容を削除しました。</t>
  </si>
  <si>
    <t>結合セル $CC$38:$CG$39 の内容を削除しました。</t>
  </si>
  <si>
    <t>セル $CH$38 の内容を削除しました。</t>
  </si>
  <si>
    <t>セル $CH$39 の内容を削除しました。</t>
  </si>
  <si>
    <t>対象: 'ﾀｲﾏｰ'!AY38:CH39</t>
  </si>
  <si>
    <t>結合セル $AY$47:$AZ$48 の内容を削除しました。</t>
  </si>
  <si>
    <t>結合セル $BA$47:$BE$48 の内容を削除しました。</t>
  </si>
  <si>
    <t>結合セル $BF$47:$BG$48 の内容を削除しました。</t>
  </si>
  <si>
    <t>結合セル $BH$47:$BL$48 の内容を削除しました。</t>
  </si>
  <si>
    <t>結合セル $BM$47:$BN$48 の内容を削除しました。</t>
  </si>
  <si>
    <t>結合セル $BO$47:$BS$48 の内容を削除しました。</t>
  </si>
  <si>
    <t>結合セル $BT$47:$BU$48 の内容を削除しました。</t>
  </si>
  <si>
    <t>結合セル $BV$47:$BZ$48 の内容を削除しました。</t>
  </si>
  <si>
    <t>結合セル $CA$47:$CB$48 の内容を削除しました。</t>
  </si>
  <si>
    <t>結合セル $CC$47:$CG$48 の内容を削除しました。</t>
  </si>
  <si>
    <t>セル $CH$47 の内容を削除しました。</t>
  </si>
  <si>
    <t>セル $CH$48 の内容を削除しました。</t>
  </si>
  <si>
    <t>対象: 'ﾀｲﾏｰ'!AY47:CH48</t>
  </si>
  <si>
    <t>結合セル $AY$56:$AZ$57 の内容を削除しました。</t>
  </si>
  <si>
    <t>結合セル $BA$56:$BE$57 の内容を削除しました。</t>
  </si>
  <si>
    <t>結合セル $BF$56:$BG$57 の内容を削除しました。</t>
  </si>
  <si>
    <t>結合セル $BH$56:$BL$57 の内容を削除しました。</t>
  </si>
  <si>
    <t>結合セル $BM$56:$BN$57 の内容を削除しました。</t>
  </si>
  <si>
    <t>結合セル $BO$56:$BS$57 の内容を削除しました。</t>
  </si>
  <si>
    <t>結合セル $BT$56:$BU$57 の内容を削除しました。</t>
  </si>
  <si>
    <t>結合セル $BV$56:$BZ$57 の内容を削除しました。</t>
  </si>
  <si>
    <t>結合セル $CA$56:$CB$57 の内容を削除しました。</t>
  </si>
  <si>
    <t>結合セル $CC$56:$CG$57 の内容を削除しました。</t>
  </si>
  <si>
    <t>セル $CH$56 の内容を削除しました。</t>
  </si>
  <si>
    <t>セル $CH$57 の内容を削除しました。</t>
  </si>
  <si>
    <t>対象: 'ﾀｲﾏｰ'!AY56:CH57</t>
  </si>
  <si>
    <t>セル $AY$65 の内容を削除しました。</t>
  </si>
  <si>
    <t>セル $AZ$65 の内容を削除しました。</t>
  </si>
  <si>
    <t>セル $BA$65 の内容を削除しました。</t>
  </si>
  <si>
    <t>セル $BB$65 の内容を削除しました。</t>
  </si>
  <si>
    <t>セル $BC$65 の内容を削除しました。</t>
  </si>
  <si>
    <t>セル $BD$65 の内容を削除しました。</t>
  </si>
  <si>
    <t>セル $BE$65 の内容を削除しました。</t>
  </si>
  <si>
    <t>セル $BF$65 の内容を削除しました。</t>
  </si>
  <si>
    <t>セル $BG$65 の内容を削除しました。</t>
  </si>
  <si>
    <t>セル $BH$65 の内容を削除しました。</t>
  </si>
  <si>
    <t>セル $BI$65 の内容を削除しました。</t>
  </si>
  <si>
    <t>セル $BJ$65 の内容を削除しました。</t>
  </si>
  <si>
    <t>セル $BK$65 の内容を削除しました。</t>
  </si>
  <si>
    <t>セル $BL$65 の内容を削除しました。</t>
  </si>
  <si>
    <t>セル $BM$65 の内容を削除しました。</t>
  </si>
  <si>
    <t>セル $BN$65 の内容を削除しました。</t>
  </si>
  <si>
    <t>セル $BO$65 の内容を削除しました。</t>
  </si>
  <si>
    <t>セル $BP$65 の内容を削除しました。</t>
  </si>
  <si>
    <t>セル $BQ$65 の内容を削除しました。</t>
  </si>
  <si>
    <t>セル $BR$65 の内容を削除しました。</t>
  </si>
  <si>
    <t>セル $BS$65 の内容を削除しました。</t>
  </si>
  <si>
    <t>セル $BT$65 の内容を削除しました。</t>
  </si>
  <si>
    <t>セル $BU$65 の内容を削除しました。</t>
  </si>
  <si>
    <t>セル $BV$65 の内容を削除しました。</t>
  </si>
  <si>
    <t>セル $BW$65 の内容を削除しました。</t>
  </si>
  <si>
    <t>セル $BX$65 の内容を削除しました。</t>
  </si>
  <si>
    <t>セル $BY$65 の内容を削除しました。</t>
  </si>
  <si>
    <t>セル $BZ$65 の内容を削除しました。</t>
  </si>
  <si>
    <t>セル $CA$65 の内容を削除しました。</t>
  </si>
  <si>
    <t>セル $CB$65 の内容を削除しました。</t>
  </si>
  <si>
    <t>セル $CC$65 の内容を削除しました。</t>
  </si>
  <si>
    <t>セル $CD$65 の内容を削除しました。</t>
  </si>
  <si>
    <t>セル $CE$65 の内容を削除しました。</t>
  </si>
  <si>
    <t>セル $CF$65 の内容を削除しました。</t>
  </si>
  <si>
    <t>セル $CG$65 の内容を削除しました。</t>
  </si>
  <si>
    <t>セル $CH$65 の内容を削除しました。</t>
  </si>
  <si>
    <t>セル $AY$66 の内容を削除しました。</t>
  </si>
  <si>
    <t>セル $AZ$66 の内容を削除しました。</t>
  </si>
  <si>
    <t>セル $BA$66 の内容を削除しました。</t>
  </si>
  <si>
    <t>セル $BB$66 の内容を削除しました。</t>
  </si>
  <si>
    <t>セル $BC$66 の内容を削除しました。</t>
  </si>
  <si>
    <t>セル $BD$66 の内容を削除しました。</t>
  </si>
  <si>
    <t>セル $BE$66 の内容を削除しました。</t>
  </si>
  <si>
    <t>セル $BF$66 の内容を削除しました。</t>
  </si>
  <si>
    <t>セル $BG$66 の内容を削除しました。</t>
  </si>
  <si>
    <t>セル $BH$66 の内容を削除しました。</t>
  </si>
  <si>
    <t>セル $BI$66 の内容を削除しました。</t>
  </si>
  <si>
    <t>セル $BJ$66 の内容を削除しました。</t>
  </si>
  <si>
    <t>セル $BK$66 の内容を削除しました。</t>
  </si>
  <si>
    <t>セル $BL$66 の内容を削除しました。</t>
  </si>
  <si>
    <t>セル $BM$66 の内容を削除しました。</t>
  </si>
  <si>
    <t>セル $BN$66 の内容を削除しました。</t>
  </si>
  <si>
    <t>セル $BO$66 の内容を削除しました。</t>
  </si>
  <si>
    <t>セル $BP$66 の内容を削除しました。</t>
  </si>
  <si>
    <t>セル $BQ$66 の内容を削除しました。</t>
  </si>
  <si>
    <t>セル $BR$66 の内容を削除しました。</t>
  </si>
  <si>
    <t>セル $BS$66 の内容を削除しました。</t>
  </si>
  <si>
    <t>セル $BT$66 の内容を削除しました。</t>
  </si>
  <si>
    <t>セル $BU$66 の内容を削除しました。</t>
  </si>
  <si>
    <t>セル $BV$66 の内容を削除しました。</t>
  </si>
  <si>
    <t>セル $BW$66 の内容を削除しました。</t>
  </si>
  <si>
    <t>セル $BX$66 の内容を削除しました。</t>
  </si>
  <si>
    <t>セル $BY$66 の内容を削除しました。</t>
  </si>
  <si>
    <t>セル $BZ$66 の内容を削除しました。</t>
  </si>
  <si>
    <t>セル $CA$66 の内容を削除しました。</t>
  </si>
  <si>
    <t>セル $CB$66 の内容を削除しました。</t>
  </si>
  <si>
    <t>セル $CC$66 の内容を削除しました。</t>
  </si>
  <si>
    <t>セル $CD$66 の内容を削除しました。</t>
  </si>
  <si>
    <t>セル $CE$66 の内容を削除しました。</t>
  </si>
  <si>
    <t>セル $CF$66 の内容を削除しました。</t>
  </si>
  <si>
    <t>セル $CG$66 の内容を削除しました。</t>
  </si>
  <si>
    <t>セル $CH$66 の内容を削除しました。</t>
  </si>
  <si>
    <t>対象: 'ﾀｲﾏｰ'!AY65:CH66</t>
  </si>
  <si>
    <t>出力ブック_点検日</t>
    <rPh sb="0" eb="2">
      <t>シュツリョク</t>
    </rPh>
    <rPh sb="6" eb="9">
      <t>テンケンビ</t>
    </rPh>
    <phoneticPr fontId="1"/>
  </si>
  <si>
    <t>出力ブック_保存ファイル名</t>
    <rPh sb="0" eb="2">
      <t>シュツリョク</t>
    </rPh>
    <rPh sb="12" eb="13">
      <t>メイ</t>
    </rPh>
    <phoneticPr fontId="1"/>
  </si>
  <si>
    <t>2025.10.10</t>
    <phoneticPr fontId="1"/>
  </si>
  <si>
    <t>D11から取得したファイル名を使用: _神戸港変電所-6TrBRy-2025.10.10.xls</t>
  </si>
  <si>
    <t>新しいブックの保存先パス: C:\Users\N100\.vscode\Github\VBA-Inspection-Report-Generator\dist\_神戸港変電所-6TrBRy-2025.10.10.xls</t>
  </si>
  <si>
    <t>作成パス: C:\Users\N100\.vscode\Github\VBA-Inspection-Report-Generator\dist\_神戸港変電所-6TrBRy-2025.10.10.xls</t>
  </si>
  <si>
    <t>新ブックパス: C:\Users\N100\.vscode\Github\VBA-Inspection-Report-Generator\dist\_神戸港変電所-6TrBRy-2025.10.10.xls</t>
  </si>
  <si>
    <t>ワークブックを開きます: C:\Users\N100\.vscode\Github\VBA-Inspection-Report-Generator\dist\_神戸港変電所-6TrBRy-2025.10.10.xls</t>
  </si>
  <si>
    <t>処理対象外の行をスキップしました: 19行目</t>
  </si>
  <si>
    <t>処理対象外の行をスキップしました: 20行目</t>
  </si>
  <si>
    <t>処理対象外の行をスキップしました: 21行目</t>
  </si>
  <si>
    <t>処理対象外の行をスキップしました: 22行目</t>
  </si>
  <si>
    <t>処理対象外の行をスキップしました: 23行目</t>
  </si>
  <si>
    <t>処理対象外の行をスキップしました: 24行目</t>
  </si>
  <si>
    <t>処理対象外の行をスキップしました: 25行目</t>
  </si>
  <si>
    <t>処理対象外の行をスキップしました: 26行目</t>
  </si>
  <si>
    <t>処理対象外の行をスキップしました: 27行目</t>
  </si>
  <si>
    <t>処理対象外の行をスキップしました: 28行目</t>
  </si>
  <si>
    <t>処理対象外の行をスキップしました: 29行目</t>
  </si>
  <si>
    <t>処理対象外の行をスキップしました: 30行目</t>
  </si>
  <si>
    <t>処理対象外の行をスキップしました: 31行目</t>
  </si>
  <si>
    <t>処理対象外の行をスキップしました: 32行目</t>
  </si>
  <si>
    <t>処理対象外の行をスキップしました: 33行目</t>
  </si>
  <si>
    <t>処理対象外の行をスキップしました: 34行目</t>
  </si>
  <si>
    <t>コピー処理が正常に完了しました。</t>
  </si>
  <si>
    <t>入力処理が正常に完了しました。</t>
  </si>
  <si>
    <t>処理対象外の行をスキップしました: 44行目</t>
  </si>
  <si>
    <t>処理対象外の行をスキップしました: 49行目</t>
  </si>
  <si>
    <t>処理対象外の行をスキップしました: 56行目</t>
  </si>
  <si>
    <t>処理対象外の行をスキップしました: 61行目</t>
  </si>
  <si>
    <t>SettingsシートのD22に型式を書き込みます。</t>
  </si>
  <si>
    <t>21行目: , , 日付, 2013.05.02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</si>
</sst>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1:F72"/>
  <sheetViews>
    <sheetView tabSelected="1" topLeftCell="A6" workbookViewId="0">
      <selection activeCell="D21" sqref="D21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1" spans="1:6" hidden="1" x14ac:dyDescent="0.4"/>
    <row r="2" spans="1:6" hidden="1" x14ac:dyDescent="0.4">
      <c r="A2" t="s">
        <v>74</v>
      </c>
    </row>
    <row r="3" spans="1:6" hidden="1" x14ac:dyDescent="0.4"/>
    <row r="4" spans="1:6" hidden="1" x14ac:dyDescent="0.4"/>
    <row r="5" spans="1:6" hidden="1" x14ac:dyDescent="0.4"/>
    <row r="6" spans="1:6" x14ac:dyDescent="0.4">
      <c r="A6" t="s">
        <v>70</v>
      </c>
    </row>
    <row r="7" spans="1:6" x14ac:dyDescent="0.4">
      <c r="B7" t="s">
        <v>11</v>
      </c>
      <c r="C7" t="s">
        <v>58</v>
      </c>
      <c r="D7" s="13" t="s">
        <v>119</v>
      </c>
      <c r="F7" t="s">
        <v>75</v>
      </c>
    </row>
    <row r="8" spans="1:6" x14ac:dyDescent="0.4">
      <c r="B8" t="s">
        <v>1</v>
      </c>
      <c r="C8" t="s">
        <v>66</v>
      </c>
      <c r="D8" s="12" t="s">
        <v>96</v>
      </c>
    </row>
    <row r="9" spans="1:6" x14ac:dyDescent="0.4">
      <c r="B9" t="s">
        <v>103</v>
      </c>
      <c r="C9" t="s">
        <v>104</v>
      </c>
      <c r="D9" s="14" t="s">
        <v>105</v>
      </c>
    </row>
    <row r="10" spans="1:6" x14ac:dyDescent="0.4">
      <c r="C10" t="s">
        <v>403</v>
      </c>
      <c r="D10" s="14" t="s">
        <v>405</v>
      </c>
    </row>
    <row r="11" spans="1:6" x14ac:dyDescent="0.4">
      <c r="C11" t="s">
        <v>404</v>
      </c>
      <c r="D11" s="14" t="str">
        <f>"_"&amp;D19&amp;"-"&amp;D20&amp;"-"&amp;D10&amp;".xls"</f>
        <v>_神戸港変電所-6TrBRy-2025.10.10.xls</v>
      </c>
    </row>
    <row r="12" spans="1:6" hidden="1" x14ac:dyDescent="0.4"/>
    <row r="13" spans="1:6" hidden="1" x14ac:dyDescent="0.4"/>
    <row r="14" spans="1:6" hidden="1" x14ac:dyDescent="0.4"/>
    <row r="15" spans="1:6" x14ac:dyDescent="0.4">
      <c r="B15" t="s">
        <v>30</v>
      </c>
      <c r="D15" s="1"/>
    </row>
    <row r="16" spans="1:6" x14ac:dyDescent="0.4">
      <c r="A16" t="s">
        <v>71</v>
      </c>
      <c r="D16" s="1"/>
    </row>
    <row r="17" spans="2:6" x14ac:dyDescent="0.4">
      <c r="B17" t="s">
        <v>29</v>
      </c>
      <c r="C17" t="s">
        <v>59</v>
      </c>
      <c r="D17" s="9" t="str">
        <f>TRIM(RIGHT(SUBSTITUTE(D7,"\",REPT(" ",100)),100))</f>
        <v>13042771神戸港変電所-6TrBRy-2013.05.02.xls</v>
      </c>
      <c r="F17" t="s">
        <v>76</v>
      </c>
    </row>
    <row r="18" spans="2:6" x14ac:dyDescent="0.4">
      <c r="C18" t="s">
        <v>61</v>
      </c>
      <c r="D18" s="9" t="str">
        <f>IFERROR(LEFT(D17,FIND("神戸港変電所",D17)-1),"")</f>
        <v>13042771</v>
      </c>
    </row>
    <row r="19" spans="2:6" x14ac:dyDescent="0.4">
      <c r="C19" t="s">
        <v>62</v>
      </c>
      <c r="D19" s="9" t="str">
        <f>IFERROR(MID(D17,LEN(D18)+1,FIND("所-",D17)-LEN(D18)),"")</f>
        <v>神戸港変電所</v>
      </c>
    </row>
    <row r="20" spans="2:6" x14ac:dyDescent="0.4">
      <c r="C20" t="s">
        <v>63</v>
      </c>
      <c r="D20" s="9" t="str">
        <f>IFERROR(MID(D17,FIND("所-",D17)+LEN("所-"),FIND("-20",D17)-(FIND("所-",D17)+LEN("所-"))),"")</f>
        <v>6TrBRy</v>
      </c>
    </row>
    <row r="21" spans="2:6" x14ac:dyDescent="0.4">
      <c r="C21" t="s">
        <v>64</v>
      </c>
      <c r="D21" s="9" t="str">
        <f>LEFT(RIGHT(D17,14),10)</f>
        <v>2013.05.02</v>
      </c>
    </row>
    <row r="22" spans="2:6" x14ac:dyDescent="0.4">
      <c r="C22" t="s">
        <v>97</v>
      </c>
      <c r="D22" s="10" t="s">
        <v>98</v>
      </c>
      <c r="E22" t="s">
        <v>100</v>
      </c>
    </row>
    <row r="23" spans="2:6" x14ac:dyDescent="0.4">
      <c r="C23" t="s">
        <v>27</v>
      </c>
      <c r="D23" s="9" t="s">
        <v>10</v>
      </c>
      <c r="E23" t="s">
        <v>101</v>
      </c>
    </row>
    <row r="24" spans="2:6" x14ac:dyDescent="0.4">
      <c r="C24" t="s">
        <v>60</v>
      </c>
      <c r="D24" s="9" t="s">
        <v>99</v>
      </c>
      <c r="E24" t="s">
        <v>101</v>
      </c>
    </row>
    <row r="25" spans="2:6" x14ac:dyDescent="0.4">
      <c r="C25" t="s">
        <v>12</v>
      </c>
      <c r="D25" s="9" t="s">
        <v>26</v>
      </c>
      <c r="E25" t="s">
        <v>69</v>
      </c>
    </row>
    <row r="26" spans="2:6" x14ac:dyDescent="0.4">
      <c r="C26" t="s">
        <v>13</v>
      </c>
      <c r="D26" s="9" t="s">
        <v>25</v>
      </c>
      <c r="E26" t="s">
        <v>69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2" spans="2:6" hidden="1" x14ac:dyDescent="0.4"/>
    <row r="33" spans="1:4" x14ac:dyDescent="0.4">
      <c r="A33" t="s">
        <v>72</v>
      </c>
      <c r="C33" s="1"/>
    </row>
    <row r="34" spans="1:4" x14ac:dyDescent="0.4">
      <c r="A34" t="s">
        <v>73</v>
      </c>
      <c r="B34" t="s">
        <v>102</v>
      </c>
      <c r="C34" s="1" t="s">
        <v>42</v>
      </c>
      <c r="D34" t="s">
        <v>14</v>
      </c>
    </row>
    <row r="35" spans="1:4" x14ac:dyDescent="0.4">
      <c r="A35">
        <v>1</v>
      </c>
      <c r="B35">
        <v>1</v>
      </c>
      <c r="C35" t="s">
        <v>33</v>
      </c>
      <c r="D35" s="6" t="s">
        <v>2</v>
      </c>
    </row>
    <row r="36" spans="1:4" x14ac:dyDescent="0.4">
      <c r="A36">
        <v>1</v>
      </c>
      <c r="B36">
        <v>2</v>
      </c>
      <c r="C36" t="s">
        <v>34</v>
      </c>
      <c r="D36" s="7" t="s">
        <v>32</v>
      </c>
    </row>
    <row r="37" spans="1:4" x14ac:dyDescent="0.4">
      <c r="A37">
        <v>1</v>
      </c>
      <c r="B37">
        <v>3</v>
      </c>
      <c r="C37" t="s">
        <v>35</v>
      </c>
      <c r="D37" s="7" t="s">
        <v>38</v>
      </c>
    </row>
    <row r="38" spans="1:4" x14ac:dyDescent="0.4">
      <c r="A38">
        <v>1</v>
      </c>
      <c r="B38">
        <v>4</v>
      </c>
      <c r="C38" t="s">
        <v>36</v>
      </c>
      <c r="D38" s="7" t="s">
        <v>39</v>
      </c>
    </row>
    <row r="39" spans="1:4" x14ac:dyDescent="0.4">
      <c r="A39">
        <v>1</v>
      </c>
      <c r="B39">
        <v>5</v>
      </c>
      <c r="C39" t="s">
        <v>37</v>
      </c>
      <c r="D39" s="7" t="s">
        <v>65</v>
      </c>
    </row>
    <row r="40" spans="1:4" x14ac:dyDescent="0.4">
      <c r="A40">
        <v>1</v>
      </c>
      <c r="B40">
        <v>6</v>
      </c>
      <c r="C40" t="s">
        <v>67</v>
      </c>
      <c r="D40" s="7" t="s">
        <v>40</v>
      </c>
    </row>
    <row r="41" spans="1:4" x14ac:dyDescent="0.4">
      <c r="A41">
        <v>1</v>
      </c>
      <c r="B41">
        <v>7</v>
      </c>
      <c r="C41" t="s">
        <v>68</v>
      </c>
      <c r="D41" s="8" t="str">
        <f ca="1">TEXT(TODAY(),"YYYY.MM.DD")</f>
        <v>2025.07.09</v>
      </c>
    </row>
    <row r="42" spans="1:4" x14ac:dyDescent="0.4">
      <c r="A42">
        <v>1</v>
      </c>
      <c r="B42">
        <v>6</v>
      </c>
      <c r="C42" t="s">
        <v>67</v>
      </c>
      <c r="D42" s="7" t="s">
        <v>40</v>
      </c>
    </row>
    <row r="43" spans="1:4" x14ac:dyDescent="0.4">
      <c r="A43">
        <v>1</v>
      </c>
      <c r="B43">
        <v>7</v>
      </c>
      <c r="C43" t="s">
        <v>68</v>
      </c>
      <c r="D43" s="8" t="str">
        <f ca="1">TEXT(TODAY(),"YYYY.MM.DD")</f>
        <v>2025.07.09</v>
      </c>
    </row>
    <row r="45" spans="1:4" x14ac:dyDescent="0.4">
      <c r="A45">
        <v>2</v>
      </c>
      <c r="B45">
        <v>1</v>
      </c>
      <c r="C45" t="s">
        <v>33</v>
      </c>
      <c r="D45" s="7" t="s">
        <v>44</v>
      </c>
    </row>
    <row r="46" spans="1:4" x14ac:dyDescent="0.4">
      <c r="A46">
        <v>2</v>
      </c>
      <c r="B46">
        <v>2</v>
      </c>
      <c r="C46" t="s">
        <v>34</v>
      </c>
      <c r="D46" s="7" t="s">
        <v>44</v>
      </c>
    </row>
    <row r="47" spans="1:4" x14ac:dyDescent="0.4">
      <c r="A47">
        <v>2</v>
      </c>
      <c r="B47">
        <v>3</v>
      </c>
      <c r="C47" t="s">
        <v>35</v>
      </c>
      <c r="D47" s="7" t="s">
        <v>45</v>
      </c>
    </row>
    <row r="48" spans="1:4" x14ac:dyDescent="0.4">
      <c r="A48">
        <v>2</v>
      </c>
      <c r="B48">
        <v>4</v>
      </c>
      <c r="C48" t="s">
        <v>36</v>
      </c>
      <c r="D48" s="7" t="s">
        <v>45</v>
      </c>
    </row>
    <row r="50" spans="1:4" x14ac:dyDescent="0.4">
      <c r="A50">
        <v>3</v>
      </c>
      <c r="B50">
        <v>1</v>
      </c>
      <c r="C50" t="s">
        <v>33</v>
      </c>
      <c r="D50" s="7" t="s">
        <v>56</v>
      </c>
    </row>
    <row r="51" spans="1:4" x14ac:dyDescent="0.4">
      <c r="A51">
        <v>3</v>
      </c>
      <c r="B51">
        <v>2</v>
      </c>
      <c r="C51" t="s">
        <v>34</v>
      </c>
      <c r="D51" s="7" t="s">
        <v>56</v>
      </c>
    </row>
    <row r="52" spans="1:4" x14ac:dyDescent="0.4">
      <c r="A52">
        <v>3</v>
      </c>
      <c r="B52">
        <v>3</v>
      </c>
      <c r="C52" t="s">
        <v>35</v>
      </c>
      <c r="D52" s="7" t="s">
        <v>45</v>
      </c>
    </row>
    <row r="53" spans="1:4" x14ac:dyDescent="0.4">
      <c r="A53">
        <v>3</v>
      </c>
      <c r="B53">
        <v>4</v>
      </c>
      <c r="C53" t="s">
        <v>36</v>
      </c>
      <c r="D53" s="7" t="s">
        <v>45</v>
      </c>
    </row>
    <row r="54" spans="1:4" x14ac:dyDescent="0.4">
      <c r="A54">
        <v>3</v>
      </c>
      <c r="B54">
        <v>3</v>
      </c>
      <c r="C54" t="s">
        <v>35</v>
      </c>
      <c r="D54" s="7" t="s">
        <v>46</v>
      </c>
    </row>
    <row r="55" spans="1:4" x14ac:dyDescent="0.4">
      <c r="A55">
        <v>3</v>
      </c>
      <c r="B55">
        <v>4</v>
      </c>
      <c r="C55" t="s">
        <v>36</v>
      </c>
      <c r="D55" s="7" t="s">
        <v>46</v>
      </c>
    </row>
    <row r="57" spans="1:4" x14ac:dyDescent="0.4">
      <c r="A57">
        <v>4</v>
      </c>
      <c r="B57">
        <v>1</v>
      </c>
      <c r="C57" t="s">
        <v>33</v>
      </c>
      <c r="D57" s="7" t="s">
        <v>55</v>
      </c>
    </row>
    <row r="58" spans="1:4" x14ac:dyDescent="0.4">
      <c r="A58">
        <v>4</v>
      </c>
      <c r="B58">
        <v>2</v>
      </c>
      <c r="C58" t="s">
        <v>34</v>
      </c>
      <c r="D58" s="7" t="s">
        <v>55</v>
      </c>
    </row>
    <row r="59" spans="1:4" x14ac:dyDescent="0.4">
      <c r="A59">
        <v>4</v>
      </c>
      <c r="B59">
        <v>3</v>
      </c>
      <c r="C59" t="s">
        <v>35</v>
      </c>
      <c r="D59" s="7" t="s">
        <v>45</v>
      </c>
    </row>
    <row r="60" spans="1:4" x14ac:dyDescent="0.4">
      <c r="A60">
        <v>4</v>
      </c>
      <c r="B60">
        <v>4</v>
      </c>
      <c r="C60" t="s">
        <v>36</v>
      </c>
      <c r="D60" s="7" t="s">
        <v>45</v>
      </c>
    </row>
    <row r="62" spans="1:4" x14ac:dyDescent="0.4">
      <c r="A62">
        <v>5</v>
      </c>
      <c r="B62">
        <v>1</v>
      </c>
      <c r="C62" t="s">
        <v>33</v>
      </c>
      <c r="D62" s="7" t="s">
        <v>57</v>
      </c>
    </row>
    <row r="63" spans="1:4" x14ac:dyDescent="0.4">
      <c r="A63">
        <v>5</v>
      </c>
      <c r="B63">
        <v>2</v>
      </c>
      <c r="C63" t="s">
        <v>34</v>
      </c>
      <c r="D63" s="7" t="s">
        <v>57</v>
      </c>
    </row>
    <row r="64" spans="1:4" x14ac:dyDescent="0.4">
      <c r="A64">
        <v>5</v>
      </c>
      <c r="B64">
        <v>3</v>
      </c>
      <c r="C64" t="s">
        <v>35</v>
      </c>
      <c r="D64" s="7" t="s">
        <v>47</v>
      </c>
    </row>
    <row r="65" spans="1:4" x14ac:dyDescent="0.4">
      <c r="A65">
        <v>5</v>
      </c>
      <c r="B65">
        <v>4</v>
      </c>
      <c r="C65" t="s">
        <v>36</v>
      </c>
      <c r="D65" s="7" t="s">
        <v>47</v>
      </c>
    </row>
    <row r="66" spans="1:4" x14ac:dyDescent="0.4">
      <c r="A66">
        <v>5</v>
      </c>
      <c r="B66">
        <v>5</v>
      </c>
      <c r="C66" t="s">
        <v>37</v>
      </c>
      <c r="D66" s="7" t="s">
        <v>48</v>
      </c>
    </row>
    <row r="67" spans="1:4" x14ac:dyDescent="0.4">
      <c r="A67">
        <v>5</v>
      </c>
      <c r="B67">
        <v>5</v>
      </c>
      <c r="C67" t="s">
        <v>37</v>
      </c>
      <c r="D67" s="7" t="s">
        <v>49</v>
      </c>
    </row>
    <row r="68" spans="1:4" x14ac:dyDescent="0.4">
      <c r="A68">
        <v>5</v>
      </c>
      <c r="B68">
        <v>5</v>
      </c>
      <c r="C68" t="s">
        <v>37</v>
      </c>
      <c r="D68" s="7" t="s">
        <v>50</v>
      </c>
    </row>
    <row r="69" spans="1:4" x14ac:dyDescent="0.4">
      <c r="A69">
        <v>5</v>
      </c>
      <c r="B69">
        <v>5</v>
      </c>
      <c r="C69" t="s">
        <v>37</v>
      </c>
      <c r="D69" s="7" t="s">
        <v>51</v>
      </c>
    </row>
    <row r="70" spans="1:4" x14ac:dyDescent="0.4">
      <c r="A70">
        <v>5</v>
      </c>
      <c r="B70">
        <v>5</v>
      </c>
      <c r="C70" t="s">
        <v>37</v>
      </c>
      <c r="D70" s="7" t="s">
        <v>52</v>
      </c>
    </row>
    <row r="71" spans="1:4" x14ac:dyDescent="0.4">
      <c r="A71">
        <v>5</v>
      </c>
      <c r="B71">
        <v>5</v>
      </c>
      <c r="C71" t="s">
        <v>37</v>
      </c>
      <c r="D71" s="7" t="s">
        <v>53</v>
      </c>
    </row>
    <row r="72" spans="1:4" x14ac:dyDescent="0.4">
      <c r="A72">
        <v>5</v>
      </c>
      <c r="B72">
        <v>5</v>
      </c>
      <c r="C72" t="s">
        <v>37</v>
      </c>
      <c r="D72" s="7" t="s">
        <v>54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P9"/>
  <sheetViews>
    <sheetView workbookViewId="0">
      <selection activeCell="H2" sqref="H2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  <col min="14" max="14" width="13" bestFit="1" customWidth="1"/>
  </cols>
  <sheetData>
    <row r="1" spans="1:16" x14ac:dyDescent="0.4">
      <c r="A1" s="2" t="s">
        <v>28</v>
      </c>
      <c r="B1" t="s">
        <v>12</v>
      </c>
      <c r="C1" t="s">
        <v>13</v>
      </c>
      <c r="E1" t="s">
        <v>29</v>
      </c>
      <c r="F1" t="s">
        <v>97</v>
      </c>
      <c r="G1" t="s">
        <v>27</v>
      </c>
      <c r="H1" s="4" t="s">
        <v>0</v>
      </c>
      <c r="J1" t="s">
        <v>31</v>
      </c>
      <c r="K1" t="s">
        <v>41</v>
      </c>
      <c r="L1" s="5" t="s">
        <v>42</v>
      </c>
      <c r="N1" t="s">
        <v>110</v>
      </c>
      <c r="O1" t="s">
        <v>109</v>
      </c>
      <c r="P1" t="s">
        <v>106</v>
      </c>
    </row>
    <row r="2" spans="1:16" x14ac:dyDescent="0.4">
      <c r="B2" t="s">
        <v>15</v>
      </c>
      <c r="C2" t="s">
        <v>19</v>
      </c>
      <c r="G2" t="s">
        <v>4</v>
      </c>
      <c r="H2" s="4" t="s">
        <v>111</v>
      </c>
      <c r="I2" t="s">
        <v>43</v>
      </c>
      <c r="K2">
        <v>1</v>
      </c>
      <c r="L2" s="4" t="s">
        <v>33</v>
      </c>
      <c r="O2" t="s">
        <v>107</v>
      </c>
      <c r="P2" t="s">
        <v>108</v>
      </c>
    </row>
    <row r="3" spans="1:16" x14ac:dyDescent="0.4">
      <c r="B3" t="s">
        <v>16</v>
      </c>
      <c r="C3" t="s">
        <v>20</v>
      </c>
      <c r="G3" t="s">
        <v>3</v>
      </c>
      <c r="H3" s="4" t="s">
        <v>112</v>
      </c>
      <c r="I3" t="s">
        <v>43</v>
      </c>
      <c r="K3">
        <v>2</v>
      </c>
      <c r="L3" s="4" t="s">
        <v>34</v>
      </c>
    </row>
    <row r="4" spans="1:16" x14ac:dyDescent="0.4">
      <c r="B4" t="s">
        <v>17</v>
      </c>
      <c r="C4" t="s">
        <v>21</v>
      </c>
      <c r="G4" t="s">
        <v>6</v>
      </c>
      <c r="H4" s="4" t="s">
        <v>113</v>
      </c>
      <c r="I4" t="s">
        <v>43</v>
      </c>
      <c r="K4">
        <v>3</v>
      </c>
      <c r="L4" s="4" t="s">
        <v>35</v>
      </c>
    </row>
    <row r="5" spans="1:16" x14ac:dyDescent="0.4">
      <c r="B5" t="s">
        <v>18</v>
      </c>
      <c r="C5" t="s">
        <v>22</v>
      </c>
      <c r="G5" t="s">
        <v>5</v>
      </c>
      <c r="H5" s="4" t="s">
        <v>114</v>
      </c>
      <c r="I5" t="s">
        <v>43</v>
      </c>
      <c r="K5">
        <v>4</v>
      </c>
      <c r="L5" s="4" t="s">
        <v>36</v>
      </c>
    </row>
    <row r="6" spans="1:16" x14ac:dyDescent="0.4">
      <c r="C6" t="s">
        <v>17</v>
      </c>
      <c r="G6" t="s">
        <v>8</v>
      </c>
      <c r="H6" s="4" t="s">
        <v>115</v>
      </c>
      <c r="I6" t="s">
        <v>43</v>
      </c>
      <c r="K6">
        <v>5</v>
      </c>
      <c r="L6" s="4" t="s">
        <v>37</v>
      </c>
    </row>
    <row r="7" spans="1:16" x14ac:dyDescent="0.4">
      <c r="C7" t="s">
        <v>23</v>
      </c>
      <c r="G7" t="s">
        <v>7</v>
      </c>
      <c r="H7" s="4" t="s">
        <v>116</v>
      </c>
      <c r="I7" t="s">
        <v>43</v>
      </c>
      <c r="K7">
        <v>6</v>
      </c>
      <c r="L7" t="s">
        <v>67</v>
      </c>
    </row>
    <row r="8" spans="1:16" x14ac:dyDescent="0.4">
      <c r="C8" t="s">
        <v>18</v>
      </c>
      <c r="G8" t="s">
        <v>9</v>
      </c>
      <c r="H8" s="4" t="s">
        <v>117</v>
      </c>
      <c r="I8" t="s">
        <v>43</v>
      </c>
      <c r="K8">
        <v>7</v>
      </c>
      <c r="L8" t="s">
        <v>68</v>
      </c>
    </row>
    <row r="9" spans="1:16" x14ac:dyDescent="0.4">
      <c r="C9" t="s">
        <v>24</v>
      </c>
      <c r="F9" t="s">
        <v>98</v>
      </c>
      <c r="G9" t="s">
        <v>10</v>
      </c>
      <c r="H9" s="4" t="s">
        <v>118</v>
      </c>
      <c r="I9" t="s">
        <v>43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>
    <tabColor theme="2" tint="-0.499984740745262"/>
  </sheetPr>
  <dimension ref="A1:B700"/>
  <sheetViews>
    <sheetView workbookViewId="0">
      <selection activeCell="B27" sqref="B27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t="s">
        <v>77</v>
      </c>
      <c r="B1" t="s">
        <v>78</v>
      </c>
    </row>
    <row r="2" spans="1:2" x14ac:dyDescent="0.4">
      <c r="A2" s="11">
        <v>45847.662407407406</v>
      </c>
      <c r="B2" t="s">
        <v>79</v>
      </c>
    </row>
    <row r="3" spans="1:2" x14ac:dyDescent="0.4">
      <c r="A3" s="11">
        <v>45847.662407407406</v>
      </c>
      <c r="B3" t="s">
        <v>83</v>
      </c>
    </row>
    <row r="4" spans="1:2" x14ac:dyDescent="0.4">
      <c r="A4" s="11">
        <v>45847.662407407406</v>
      </c>
      <c r="B4" t="s">
        <v>84</v>
      </c>
    </row>
    <row r="5" spans="1:2" x14ac:dyDescent="0.4">
      <c r="A5" s="11">
        <v>45847.662407407406</v>
      </c>
      <c r="B5" t="s">
        <v>85</v>
      </c>
    </row>
    <row r="6" spans="1:2" x14ac:dyDescent="0.4">
      <c r="A6" s="11">
        <v>45847.662407407406</v>
      </c>
      <c r="B6" t="s">
        <v>93</v>
      </c>
    </row>
    <row r="7" spans="1:2" x14ac:dyDescent="0.4">
      <c r="A7" s="11">
        <v>45847.662407407406</v>
      </c>
      <c r="B7" t="s">
        <v>120</v>
      </c>
    </row>
    <row r="8" spans="1:2" x14ac:dyDescent="0.4">
      <c r="A8" s="11">
        <v>45847.662407407406</v>
      </c>
      <c r="B8" t="s">
        <v>121</v>
      </c>
    </row>
    <row r="9" spans="1:2" x14ac:dyDescent="0.4">
      <c r="A9" s="11">
        <v>45847.662407407406</v>
      </c>
      <c r="B9" t="s">
        <v>94</v>
      </c>
    </row>
    <row r="10" spans="1:2" x14ac:dyDescent="0.4">
      <c r="A10" s="11">
        <v>45847.662407407406</v>
      </c>
      <c r="B10" t="s">
        <v>122</v>
      </c>
    </row>
    <row r="11" spans="1:2" x14ac:dyDescent="0.4">
      <c r="A11" s="11">
        <v>45847.662418981483</v>
      </c>
      <c r="B11" t="s">
        <v>123</v>
      </c>
    </row>
    <row r="12" spans="1:2" x14ac:dyDescent="0.4">
      <c r="A12" s="11">
        <v>45847.662418981483</v>
      </c>
      <c r="B12" t="s">
        <v>124</v>
      </c>
    </row>
    <row r="13" spans="1:2" x14ac:dyDescent="0.4">
      <c r="A13" s="11">
        <v>45847.662418981483</v>
      </c>
      <c r="B13" t="s">
        <v>125</v>
      </c>
    </row>
    <row r="14" spans="1:2" x14ac:dyDescent="0.4">
      <c r="A14" s="11">
        <v>45847.662418981483</v>
      </c>
      <c r="B14" t="s">
        <v>126</v>
      </c>
    </row>
    <row r="15" spans="1:2" x14ac:dyDescent="0.4">
      <c r="A15" s="11">
        <v>45847.662418981483</v>
      </c>
      <c r="B15" t="s">
        <v>127</v>
      </c>
    </row>
    <row r="16" spans="1:2" x14ac:dyDescent="0.4">
      <c r="A16" s="11">
        <v>45847.662418981483</v>
      </c>
      <c r="B16" t="s">
        <v>128</v>
      </c>
    </row>
    <row r="17" spans="1:2" x14ac:dyDescent="0.4">
      <c r="A17" s="11">
        <v>45847.662442129629</v>
      </c>
      <c r="B17" t="s">
        <v>433</v>
      </c>
    </row>
    <row r="18" spans="1:2" x14ac:dyDescent="0.4">
      <c r="A18" s="11">
        <v>45847.662442129629</v>
      </c>
      <c r="B18" t="s">
        <v>129</v>
      </c>
    </row>
    <row r="19" spans="1:2" x14ac:dyDescent="0.4">
      <c r="A19" s="11">
        <v>45847.662442129629</v>
      </c>
      <c r="B19" t="s">
        <v>130</v>
      </c>
    </row>
    <row r="20" spans="1:2" x14ac:dyDescent="0.4">
      <c r="A20" s="11">
        <v>45847.662442129629</v>
      </c>
      <c r="B20" t="s">
        <v>131</v>
      </c>
    </row>
    <row r="21" spans="1:2" x14ac:dyDescent="0.4">
      <c r="A21" s="11">
        <v>45847.662442129629</v>
      </c>
      <c r="B21" t="s">
        <v>132</v>
      </c>
    </row>
    <row r="22" spans="1:2" x14ac:dyDescent="0.4">
      <c r="A22" s="11">
        <v>45847.662442129629</v>
      </c>
      <c r="B22" t="s">
        <v>133</v>
      </c>
    </row>
    <row r="23" spans="1:2" x14ac:dyDescent="0.4">
      <c r="A23" s="11">
        <v>45847.662442129629</v>
      </c>
      <c r="B23" t="s">
        <v>406</v>
      </c>
    </row>
    <row r="24" spans="1:2" x14ac:dyDescent="0.4">
      <c r="A24" s="11">
        <v>45847.662442129629</v>
      </c>
      <c r="B24" t="s">
        <v>134</v>
      </c>
    </row>
    <row r="25" spans="1:2" x14ac:dyDescent="0.4">
      <c r="A25" s="11">
        <v>45847.662442129629</v>
      </c>
      <c r="B25" t="s">
        <v>407</v>
      </c>
    </row>
    <row r="26" spans="1:2" x14ac:dyDescent="0.4">
      <c r="A26" s="11">
        <v>45847.662442129629</v>
      </c>
      <c r="B26" t="s">
        <v>136</v>
      </c>
    </row>
    <row r="27" spans="1:2" x14ac:dyDescent="0.4">
      <c r="A27" s="11">
        <v>45847.662442129629</v>
      </c>
      <c r="B27" t="s">
        <v>409</v>
      </c>
    </row>
    <row r="28" spans="1:2" x14ac:dyDescent="0.4">
      <c r="A28" s="11">
        <v>45847.662442129629</v>
      </c>
      <c r="B28" t="s">
        <v>137</v>
      </c>
    </row>
    <row r="29" spans="1:2" x14ac:dyDescent="0.4">
      <c r="A29" s="11">
        <v>45847.662442129629</v>
      </c>
      <c r="B29" t="s">
        <v>138</v>
      </c>
    </row>
    <row r="30" spans="1:2" x14ac:dyDescent="0.4">
      <c r="A30" s="11">
        <v>45847.662442129629</v>
      </c>
      <c r="B30" t="s">
        <v>120</v>
      </c>
    </row>
    <row r="31" spans="1:2" x14ac:dyDescent="0.4">
      <c r="A31" s="11">
        <v>45847.662442129629</v>
      </c>
      <c r="B31" t="s">
        <v>409</v>
      </c>
    </row>
    <row r="32" spans="1:2" x14ac:dyDescent="0.4">
      <c r="A32" s="11">
        <v>45847.662442129629</v>
      </c>
      <c r="B32" t="s">
        <v>139</v>
      </c>
    </row>
    <row r="33" spans="1:2" x14ac:dyDescent="0.4">
      <c r="A33" s="11">
        <v>45847.662442129629</v>
      </c>
      <c r="B33" t="s">
        <v>122</v>
      </c>
    </row>
    <row r="34" spans="1:2" x14ac:dyDescent="0.4">
      <c r="A34" s="11">
        <v>45847.662465277775</v>
      </c>
      <c r="B34" t="s">
        <v>410</v>
      </c>
    </row>
    <row r="35" spans="1:2" x14ac:dyDescent="0.4">
      <c r="A35" s="11">
        <v>45847.662488425929</v>
      </c>
      <c r="B35" t="s">
        <v>140</v>
      </c>
    </row>
    <row r="36" spans="1:2" x14ac:dyDescent="0.4">
      <c r="A36" s="11">
        <v>45847.662488425929</v>
      </c>
      <c r="B36" t="s">
        <v>141</v>
      </c>
    </row>
    <row r="37" spans="1:2" x14ac:dyDescent="0.4">
      <c r="A37" s="11">
        <v>45847.662488425929</v>
      </c>
      <c r="B37" t="s">
        <v>411</v>
      </c>
    </row>
    <row r="38" spans="1:2" x14ac:dyDescent="0.4">
      <c r="A38" s="11">
        <v>45847.662488425929</v>
      </c>
      <c r="B38" t="s">
        <v>142</v>
      </c>
    </row>
    <row r="39" spans="1:2" x14ac:dyDescent="0.4">
      <c r="A39" s="11">
        <v>45847.662488425929</v>
      </c>
      <c r="B39" t="s">
        <v>412</v>
      </c>
    </row>
    <row r="40" spans="1:2" x14ac:dyDescent="0.4">
      <c r="A40" s="11">
        <v>45847.662488425929</v>
      </c>
      <c r="B40" t="s">
        <v>434</v>
      </c>
    </row>
    <row r="41" spans="1:2" x14ac:dyDescent="0.4">
      <c r="A41" s="11">
        <v>45847.662488425929</v>
      </c>
      <c r="B41" t="s">
        <v>413</v>
      </c>
    </row>
    <row r="42" spans="1:2" x14ac:dyDescent="0.4">
      <c r="A42" s="11">
        <v>45847.662488425929</v>
      </c>
      <c r="B42" t="s">
        <v>143</v>
      </c>
    </row>
    <row r="43" spans="1:2" x14ac:dyDescent="0.4">
      <c r="A43" s="11">
        <v>45847.662488425929</v>
      </c>
      <c r="B43" t="s">
        <v>414</v>
      </c>
    </row>
    <row r="44" spans="1:2" x14ac:dyDescent="0.4">
      <c r="A44" s="11">
        <v>45847.662488425929</v>
      </c>
      <c r="B44" t="s">
        <v>144</v>
      </c>
    </row>
    <row r="45" spans="1:2" x14ac:dyDescent="0.4">
      <c r="A45" s="11">
        <v>45847.662488425929</v>
      </c>
      <c r="B45" t="s">
        <v>415</v>
      </c>
    </row>
    <row r="46" spans="1:2" x14ac:dyDescent="0.4">
      <c r="A46" s="11">
        <v>45847.662488425929</v>
      </c>
      <c r="B46" t="s">
        <v>145</v>
      </c>
    </row>
    <row r="47" spans="1:2" x14ac:dyDescent="0.4">
      <c r="A47" s="11">
        <v>45847.662488425929</v>
      </c>
      <c r="B47" t="s">
        <v>416</v>
      </c>
    </row>
    <row r="48" spans="1:2" x14ac:dyDescent="0.4">
      <c r="A48" s="11">
        <v>45847.662488425929</v>
      </c>
      <c r="B48" t="s">
        <v>146</v>
      </c>
    </row>
    <row r="49" spans="1:2" x14ac:dyDescent="0.4">
      <c r="A49" s="11">
        <v>45847.662488425929</v>
      </c>
      <c r="B49" t="s">
        <v>417</v>
      </c>
    </row>
    <row r="50" spans="1:2" x14ac:dyDescent="0.4">
      <c r="A50" s="11">
        <v>45847.662488425929</v>
      </c>
      <c r="B50" t="s">
        <v>147</v>
      </c>
    </row>
    <row r="51" spans="1:2" x14ac:dyDescent="0.4">
      <c r="A51" s="11">
        <v>45847.662488425929</v>
      </c>
      <c r="B51" t="s">
        <v>418</v>
      </c>
    </row>
    <row r="52" spans="1:2" x14ac:dyDescent="0.4">
      <c r="A52" s="11">
        <v>45847.662488425929</v>
      </c>
      <c r="B52" t="s">
        <v>148</v>
      </c>
    </row>
    <row r="53" spans="1:2" x14ac:dyDescent="0.4">
      <c r="A53" s="11">
        <v>45847.662488425929</v>
      </c>
      <c r="B53" t="s">
        <v>419</v>
      </c>
    </row>
    <row r="54" spans="1:2" x14ac:dyDescent="0.4">
      <c r="A54" s="11">
        <v>45847.662488425929</v>
      </c>
      <c r="B54" t="s">
        <v>149</v>
      </c>
    </row>
    <row r="55" spans="1:2" x14ac:dyDescent="0.4">
      <c r="A55" s="11">
        <v>45847.662488425929</v>
      </c>
      <c r="B55" t="s">
        <v>420</v>
      </c>
    </row>
    <row r="56" spans="1:2" x14ac:dyDescent="0.4">
      <c r="A56" s="11">
        <v>45847.662488425929</v>
      </c>
      <c r="B56" t="s">
        <v>150</v>
      </c>
    </row>
    <row r="57" spans="1:2" x14ac:dyDescent="0.4">
      <c r="A57" s="11">
        <v>45847.662488425929</v>
      </c>
      <c r="B57" t="s">
        <v>421</v>
      </c>
    </row>
    <row r="58" spans="1:2" x14ac:dyDescent="0.4">
      <c r="A58" s="11">
        <v>45847.662488425929</v>
      </c>
      <c r="B58" t="s">
        <v>151</v>
      </c>
    </row>
    <row r="59" spans="1:2" x14ac:dyDescent="0.4">
      <c r="A59" s="11">
        <v>45847.662488425929</v>
      </c>
      <c r="B59" t="s">
        <v>422</v>
      </c>
    </row>
    <row r="60" spans="1:2" x14ac:dyDescent="0.4">
      <c r="A60" s="11">
        <v>45847.662488425929</v>
      </c>
      <c r="B60" t="s">
        <v>152</v>
      </c>
    </row>
    <row r="61" spans="1:2" x14ac:dyDescent="0.4">
      <c r="A61" s="11">
        <v>45847.662488425929</v>
      </c>
      <c r="B61" t="s">
        <v>423</v>
      </c>
    </row>
    <row r="62" spans="1:2" x14ac:dyDescent="0.4">
      <c r="A62" s="11">
        <v>45847.662488425929</v>
      </c>
      <c r="B62" t="s">
        <v>153</v>
      </c>
    </row>
    <row r="63" spans="1:2" x14ac:dyDescent="0.4">
      <c r="A63" s="11">
        <v>45847.662488425929</v>
      </c>
      <c r="B63" t="s">
        <v>424</v>
      </c>
    </row>
    <row r="64" spans="1:2" x14ac:dyDescent="0.4">
      <c r="A64" s="11">
        <v>45847.662488425929</v>
      </c>
      <c r="B64" t="s">
        <v>154</v>
      </c>
    </row>
    <row r="65" spans="1:2" x14ac:dyDescent="0.4">
      <c r="A65" s="11">
        <v>45847.662488425929</v>
      </c>
      <c r="B65" t="s">
        <v>425</v>
      </c>
    </row>
    <row r="66" spans="1:2" x14ac:dyDescent="0.4">
      <c r="A66" s="11">
        <v>45847.662488425929</v>
      </c>
      <c r="B66" t="s">
        <v>155</v>
      </c>
    </row>
    <row r="67" spans="1:2" x14ac:dyDescent="0.4">
      <c r="A67" s="11">
        <v>45847.662488425929</v>
      </c>
      <c r="B67" t="s">
        <v>426</v>
      </c>
    </row>
    <row r="68" spans="1:2" x14ac:dyDescent="0.4">
      <c r="A68" s="11">
        <v>45847.662488425929</v>
      </c>
      <c r="B68" t="s">
        <v>156</v>
      </c>
    </row>
    <row r="69" spans="1:2" x14ac:dyDescent="0.4">
      <c r="A69" s="11">
        <v>45847.662488425929</v>
      </c>
      <c r="B69" t="s">
        <v>157</v>
      </c>
    </row>
    <row r="70" spans="1:2" x14ac:dyDescent="0.4">
      <c r="A70" s="11">
        <v>45847.662488425929</v>
      </c>
      <c r="B70" t="s">
        <v>158</v>
      </c>
    </row>
    <row r="71" spans="1:2" x14ac:dyDescent="0.4">
      <c r="A71" s="11">
        <v>45847.662488425929</v>
      </c>
      <c r="B71" t="s">
        <v>159</v>
      </c>
    </row>
    <row r="72" spans="1:2" x14ac:dyDescent="0.4">
      <c r="A72" s="11">
        <v>45847.662488425929</v>
      </c>
      <c r="B72" t="s">
        <v>160</v>
      </c>
    </row>
    <row r="73" spans="1:2" x14ac:dyDescent="0.4">
      <c r="A73" s="11">
        <v>45847.662488425929</v>
      </c>
      <c r="B73" t="s">
        <v>427</v>
      </c>
    </row>
    <row r="74" spans="1:2" x14ac:dyDescent="0.4">
      <c r="A74" s="11">
        <v>45847.662488425929</v>
      </c>
      <c r="B74" t="s">
        <v>163</v>
      </c>
    </row>
    <row r="75" spans="1:2" x14ac:dyDescent="0.4">
      <c r="A75" s="11">
        <v>45847.662488425929</v>
      </c>
      <c r="B75" t="s">
        <v>164</v>
      </c>
    </row>
    <row r="76" spans="1:2" x14ac:dyDescent="0.4">
      <c r="A76" s="11">
        <v>45847.662488425929</v>
      </c>
      <c r="B76" t="s">
        <v>165</v>
      </c>
    </row>
    <row r="77" spans="1:2" x14ac:dyDescent="0.4">
      <c r="A77" s="11">
        <v>45847.662488425929</v>
      </c>
      <c r="B77" t="s">
        <v>166</v>
      </c>
    </row>
    <row r="78" spans="1:2" x14ac:dyDescent="0.4">
      <c r="A78" s="11">
        <v>45847.662488425929</v>
      </c>
      <c r="B78" t="s">
        <v>231</v>
      </c>
    </row>
    <row r="79" spans="1:2" x14ac:dyDescent="0.4">
      <c r="A79" s="11">
        <v>45847.662488425929</v>
      </c>
      <c r="B79" t="s">
        <v>232</v>
      </c>
    </row>
    <row r="80" spans="1:2" x14ac:dyDescent="0.4">
      <c r="A80" s="11">
        <v>45847.662488425929</v>
      </c>
      <c r="B80" t="s">
        <v>233</v>
      </c>
    </row>
    <row r="81" spans="1:2" x14ac:dyDescent="0.4">
      <c r="A81" s="11">
        <v>45847.662488425929</v>
      </c>
      <c r="B81" t="s">
        <v>234</v>
      </c>
    </row>
    <row r="82" spans="1:2" x14ac:dyDescent="0.4">
      <c r="A82" s="11">
        <v>45847.662488425929</v>
      </c>
      <c r="B82" t="s">
        <v>235</v>
      </c>
    </row>
    <row r="83" spans="1:2" x14ac:dyDescent="0.4">
      <c r="A83" s="11">
        <v>45847.662488425929</v>
      </c>
      <c r="B83" t="s">
        <v>236</v>
      </c>
    </row>
    <row r="84" spans="1:2" x14ac:dyDescent="0.4">
      <c r="A84" s="11">
        <v>45847.662488425929</v>
      </c>
      <c r="B84" t="s">
        <v>237</v>
      </c>
    </row>
    <row r="85" spans="1:2" x14ac:dyDescent="0.4">
      <c r="A85" s="11">
        <v>45847.662488425929</v>
      </c>
      <c r="B85" t="s">
        <v>238</v>
      </c>
    </row>
    <row r="86" spans="1:2" x14ac:dyDescent="0.4">
      <c r="A86" s="11">
        <v>45847.662488425929</v>
      </c>
      <c r="B86" t="s">
        <v>239</v>
      </c>
    </row>
    <row r="87" spans="1:2" x14ac:dyDescent="0.4">
      <c r="A87" s="11">
        <v>45847.662488425929</v>
      </c>
      <c r="B87" t="s">
        <v>240</v>
      </c>
    </row>
    <row r="88" spans="1:2" x14ac:dyDescent="0.4">
      <c r="A88" s="11">
        <v>45847.662488425929</v>
      </c>
      <c r="B88" t="s">
        <v>240</v>
      </c>
    </row>
    <row r="89" spans="1:2" x14ac:dyDescent="0.4">
      <c r="A89" s="11">
        <v>45847.662488425929</v>
      </c>
      <c r="B89" t="s">
        <v>240</v>
      </c>
    </row>
    <row r="90" spans="1:2" x14ac:dyDescent="0.4">
      <c r="A90" s="11">
        <v>45847.662488425929</v>
      </c>
      <c r="B90" t="s">
        <v>240</v>
      </c>
    </row>
    <row r="91" spans="1:2" x14ac:dyDescent="0.4">
      <c r="A91" s="11">
        <v>45847.662488425929</v>
      </c>
      <c r="B91" t="s">
        <v>240</v>
      </c>
    </row>
    <row r="92" spans="1:2" x14ac:dyDescent="0.4">
      <c r="A92" s="11">
        <v>45847.662488425929</v>
      </c>
      <c r="B92" t="s">
        <v>240</v>
      </c>
    </row>
    <row r="93" spans="1:2" x14ac:dyDescent="0.4">
      <c r="A93" s="11">
        <v>45847.662488425929</v>
      </c>
      <c r="B93" t="s">
        <v>240</v>
      </c>
    </row>
    <row r="94" spans="1:2" x14ac:dyDescent="0.4">
      <c r="A94" s="11">
        <v>45847.662488425929</v>
      </c>
      <c r="B94" t="s">
        <v>241</v>
      </c>
    </row>
    <row r="95" spans="1:2" x14ac:dyDescent="0.4">
      <c r="A95" s="11">
        <v>45847.662488425929</v>
      </c>
      <c r="B95" t="s">
        <v>242</v>
      </c>
    </row>
    <row r="96" spans="1:2" x14ac:dyDescent="0.4">
      <c r="A96" s="11">
        <v>45847.662488425929</v>
      </c>
      <c r="B96" t="s">
        <v>243</v>
      </c>
    </row>
    <row r="97" spans="1:2" x14ac:dyDescent="0.4">
      <c r="A97" s="11">
        <v>45847.662488425929</v>
      </c>
      <c r="B97" t="s">
        <v>244</v>
      </c>
    </row>
    <row r="98" spans="1:2" x14ac:dyDescent="0.4">
      <c r="A98" s="11">
        <v>45847.662488425929</v>
      </c>
      <c r="B98" t="s">
        <v>245</v>
      </c>
    </row>
    <row r="99" spans="1:2" x14ac:dyDescent="0.4">
      <c r="A99" s="11">
        <v>45847.662488425929</v>
      </c>
      <c r="B99" t="s">
        <v>246</v>
      </c>
    </row>
    <row r="100" spans="1:2" x14ac:dyDescent="0.4">
      <c r="A100" s="11">
        <v>45847.662488425929</v>
      </c>
      <c r="B100" t="s">
        <v>246</v>
      </c>
    </row>
    <row r="101" spans="1:2" x14ac:dyDescent="0.4">
      <c r="A101" s="11">
        <v>45847.662488425929</v>
      </c>
      <c r="B101" t="s">
        <v>246</v>
      </c>
    </row>
    <row r="102" spans="1:2" x14ac:dyDescent="0.4">
      <c r="A102" s="11">
        <v>45847.662488425929</v>
      </c>
      <c r="B102" t="s">
        <v>246</v>
      </c>
    </row>
    <row r="103" spans="1:2" x14ac:dyDescent="0.4">
      <c r="A103" s="11">
        <v>45847.662488425929</v>
      </c>
      <c r="B103" t="s">
        <v>246</v>
      </c>
    </row>
    <row r="104" spans="1:2" x14ac:dyDescent="0.4">
      <c r="A104" s="11">
        <v>45847.662488425929</v>
      </c>
      <c r="B104" t="s">
        <v>247</v>
      </c>
    </row>
    <row r="105" spans="1:2" x14ac:dyDescent="0.4">
      <c r="A105" s="11">
        <v>45847.662488425929</v>
      </c>
      <c r="B105" t="s">
        <v>247</v>
      </c>
    </row>
    <row r="106" spans="1:2" x14ac:dyDescent="0.4">
      <c r="A106" s="11">
        <v>45847.662488425929</v>
      </c>
      <c r="B106" t="s">
        <v>247</v>
      </c>
    </row>
    <row r="107" spans="1:2" x14ac:dyDescent="0.4">
      <c r="A107" s="11">
        <v>45847.662488425929</v>
      </c>
      <c r="B107" t="s">
        <v>247</v>
      </c>
    </row>
    <row r="108" spans="1:2" x14ac:dyDescent="0.4">
      <c r="A108" s="11">
        <v>45847.662488425929</v>
      </c>
      <c r="B108" t="s">
        <v>247</v>
      </c>
    </row>
    <row r="109" spans="1:2" x14ac:dyDescent="0.4">
      <c r="A109" s="11">
        <v>45847.662488425929</v>
      </c>
      <c r="B109" t="s">
        <v>248</v>
      </c>
    </row>
    <row r="110" spans="1:2" x14ac:dyDescent="0.4">
      <c r="A110" s="11">
        <v>45847.662488425929</v>
      </c>
      <c r="B110" t="s">
        <v>251</v>
      </c>
    </row>
    <row r="111" spans="1:2" x14ac:dyDescent="0.4">
      <c r="A111" s="11">
        <v>45847.662488425929</v>
      </c>
      <c r="B111" t="s">
        <v>167</v>
      </c>
    </row>
    <row r="112" spans="1:2" x14ac:dyDescent="0.4">
      <c r="A112" s="11">
        <v>45847.662488425929</v>
      </c>
      <c r="B112" t="s">
        <v>168</v>
      </c>
    </row>
    <row r="113" spans="1:2" x14ac:dyDescent="0.4">
      <c r="A113" s="11">
        <v>45847.662488425929</v>
      </c>
      <c r="B113" t="s">
        <v>169</v>
      </c>
    </row>
    <row r="114" spans="1:2" x14ac:dyDescent="0.4">
      <c r="A114" s="11">
        <v>45847.662488425929</v>
      </c>
      <c r="B114" t="s">
        <v>170</v>
      </c>
    </row>
    <row r="115" spans="1:2" x14ac:dyDescent="0.4">
      <c r="A115" s="11">
        <v>45847.662488425929</v>
      </c>
      <c r="B115" t="s">
        <v>166</v>
      </c>
    </row>
    <row r="116" spans="1:2" x14ac:dyDescent="0.4">
      <c r="A116" s="11">
        <v>45847.662488425929</v>
      </c>
      <c r="B116" t="s">
        <v>428</v>
      </c>
    </row>
    <row r="117" spans="1:2" x14ac:dyDescent="0.4">
      <c r="A117" s="11">
        <v>45847.662488425929</v>
      </c>
      <c r="B117" t="s">
        <v>173</v>
      </c>
    </row>
    <row r="118" spans="1:2" x14ac:dyDescent="0.4">
      <c r="A118" s="11">
        <v>45847.662488425929</v>
      </c>
      <c r="B118" t="s">
        <v>174</v>
      </c>
    </row>
    <row r="119" spans="1:2" x14ac:dyDescent="0.4">
      <c r="A119" s="11">
        <v>45847.662488425929</v>
      </c>
      <c r="B119" t="s">
        <v>169</v>
      </c>
    </row>
    <row r="120" spans="1:2" x14ac:dyDescent="0.4">
      <c r="A120" s="11">
        <v>45847.662488425929</v>
      </c>
      <c r="B120" t="s">
        <v>170</v>
      </c>
    </row>
    <row r="121" spans="1:2" x14ac:dyDescent="0.4">
      <c r="A121" s="11">
        <v>45847.662488425929</v>
      </c>
      <c r="B121" t="s">
        <v>166</v>
      </c>
    </row>
    <row r="122" spans="1:2" x14ac:dyDescent="0.4">
      <c r="A122" s="11">
        <v>45847.662488425929</v>
      </c>
      <c r="B122" t="s">
        <v>428</v>
      </c>
    </row>
    <row r="123" spans="1:2" x14ac:dyDescent="0.4">
      <c r="A123" s="11">
        <v>45847.662488425929</v>
      </c>
      <c r="B123" t="s">
        <v>175</v>
      </c>
    </row>
    <row r="124" spans="1:2" x14ac:dyDescent="0.4">
      <c r="A124" s="11">
        <v>45847.662488425929</v>
      </c>
      <c r="B124" t="s">
        <v>429</v>
      </c>
    </row>
    <row r="125" spans="1:2" x14ac:dyDescent="0.4">
      <c r="A125" s="11">
        <v>45847.662488425929</v>
      </c>
      <c r="B125" t="s">
        <v>176</v>
      </c>
    </row>
    <row r="126" spans="1:2" x14ac:dyDescent="0.4">
      <c r="A126" s="11">
        <v>45847.662488425929</v>
      </c>
      <c r="B126" t="s">
        <v>177</v>
      </c>
    </row>
    <row r="127" spans="1:2" x14ac:dyDescent="0.4">
      <c r="A127" s="11">
        <v>45847.662488425929</v>
      </c>
      <c r="B127" t="s">
        <v>178</v>
      </c>
    </row>
    <row r="128" spans="1:2" x14ac:dyDescent="0.4">
      <c r="A128" s="11">
        <v>45847.662488425929</v>
      </c>
      <c r="B128" t="s">
        <v>179</v>
      </c>
    </row>
    <row r="129" spans="1:2" x14ac:dyDescent="0.4">
      <c r="A129" s="11">
        <v>45847.662488425929</v>
      </c>
      <c r="B129" t="s">
        <v>180</v>
      </c>
    </row>
    <row r="130" spans="1:2" x14ac:dyDescent="0.4">
      <c r="A130" s="11">
        <v>45847.662488425929</v>
      </c>
      <c r="B130" t="s">
        <v>427</v>
      </c>
    </row>
    <row r="131" spans="1:2" x14ac:dyDescent="0.4">
      <c r="A131" s="11">
        <v>45847.662488425929</v>
      </c>
      <c r="B131" t="s">
        <v>182</v>
      </c>
    </row>
    <row r="132" spans="1:2" x14ac:dyDescent="0.4">
      <c r="A132" s="11">
        <v>45847.662488425929</v>
      </c>
      <c r="B132" t="s">
        <v>430</v>
      </c>
    </row>
    <row r="133" spans="1:2" x14ac:dyDescent="0.4">
      <c r="A133" s="11">
        <v>45847.662488425929</v>
      </c>
      <c r="B133" t="s">
        <v>183</v>
      </c>
    </row>
    <row r="134" spans="1:2" x14ac:dyDescent="0.4">
      <c r="A134" s="11">
        <v>45847.662488425929</v>
      </c>
      <c r="B134" t="s">
        <v>184</v>
      </c>
    </row>
    <row r="135" spans="1:2" x14ac:dyDescent="0.4">
      <c r="A135" s="11">
        <v>45847.662488425929</v>
      </c>
      <c r="B135" t="s">
        <v>185</v>
      </c>
    </row>
    <row r="136" spans="1:2" x14ac:dyDescent="0.4">
      <c r="A136" s="11">
        <v>45847.662488425929</v>
      </c>
      <c r="B136" t="s">
        <v>186</v>
      </c>
    </row>
    <row r="137" spans="1:2" x14ac:dyDescent="0.4">
      <c r="A137" s="11">
        <v>45847.662488425929</v>
      </c>
      <c r="B137" t="s">
        <v>187</v>
      </c>
    </row>
    <row r="138" spans="1:2" x14ac:dyDescent="0.4">
      <c r="A138" s="11">
        <v>45847.662488425929</v>
      </c>
      <c r="B138" t="s">
        <v>427</v>
      </c>
    </row>
    <row r="139" spans="1:2" x14ac:dyDescent="0.4">
      <c r="A139" s="11">
        <v>45847.662488425929</v>
      </c>
      <c r="B139" t="s">
        <v>189</v>
      </c>
    </row>
    <row r="140" spans="1:2" x14ac:dyDescent="0.4">
      <c r="A140" s="11">
        <v>45847.662488425929</v>
      </c>
      <c r="B140" t="s">
        <v>190</v>
      </c>
    </row>
    <row r="141" spans="1:2" x14ac:dyDescent="0.4">
      <c r="A141" s="11">
        <v>45847.662488425929</v>
      </c>
      <c r="B141" t="s">
        <v>191</v>
      </c>
    </row>
    <row r="142" spans="1:2" x14ac:dyDescent="0.4">
      <c r="A142" s="11">
        <v>45847.662488425929</v>
      </c>
      <c r="B142" t="s">
        <v>427</v>
      </c>
    </row>
    <row r="143" spans="1:2" x14ac:dyDescent="0.4">
      <c r="A143" s="11">
        <v>45847.662488425929</v>
      </c>
      <c r="B143" t="s">
        <v>193</v>
      </c>
    </row>
    <row r="144" spans="1:2" x14ac:dyDescent="0.4">
      <c r="A144" s="11">
        <v>45847.662488425929</v>
      </c>
      <c r="B144" t="s">
        <v>431</v>
      </c>
    </row>
    <row r="145" spans="1:2" x14ac:dyDescent="0.4">
      <c r="A145" s="11">
        <v>45847.662488425929</v>
      </c>
      <c r="B145" t="s">
        <v>194</v>
      </c>
    </row>
    <row r="146" spans="1:2" x14ac:dyDescent="0.4">
      <c r="A146" s="11">
        <v>45847.662488425929</v>
      </c>
      <c r="B146" t="s">
        <v>195</v>
      </c>
    </row>
    <row r="147" spans="1:2" x14ac:dyDescent="0.4">
      <c r="A147" s="11">
        <v>45847.662488425929</v>
      </c>
      <c r="B147" t="s">
        <v>196</v>
      </c>
    </row>
    <row r="148" spans="1:2" x14ac:dyDescent="0.4">
      <c r="A148" s="11">
        <v>45847.662488425929</v>
      </c>
      <c r="B148" t="s">
        <v>197</v>
      </c>
    </row>
    <row r="149" spans="1:2" x14ac:dyDescent="0.4">
      <c r="A149" s="11">
        <v>45847.662488425929</v>
      </c>
      <c r="B149" t="s">
        <v>198</v>
      </c>
    </row>
    <row r="150" spans="1:2" x14ac:dyDescent="0.4">
      <c r="A150" s="11">
        <v>45847.662488425929</v>
      </c>
      <c r="B150" t="s">
        <v>427</v>
      </c>
    </row>
    <row r="151" spans="1:2" x14ac:dyDescent="0.4">
      <c r="A151" s="11">
        <v>45847.662488425929</v>
      </c>
      <c r="B151" t="s">
        <v>200</v>
      </c>
    </row>
    <row r="152" spans="1:2" x14ac:dyDescent="0.4">
      <c r="A152" s="11">
        <v>45847.662488425929</v>
      </c>
      <c r="B152" t="s">
        <v>432</v>
      </c>
    </row>
    <row r="153" spans="1:2" x14ac:dyDescent="0.4">
      <c r="A153" s="11">
        <v>45847.662488425929</v>
      </c>
      <c r="B153" t="s">
        <v>201</v>
      </c>
    </row>
    <row r="154" spans="1:2" x14ac:dyDescent="0.4">
      <c r="A154" s="11">
        <v>45847.662488425929</v>
      </c>
      <c r="B154" t="s">
        <v>202</v>
      </c>
    </row>
    <row r="155" spans="1:2" x14ac:dyDescent="0.4">
      <c r="A155" s="11">
        <v>45847.662488425929</v>
      </c>
      <c r="B155" t="s">
        <v>203</v>
      </c>
    </row>
    <row r="156" spans="1:2" x14ac:dyDescent="0.4">
      <c r="A156" s="11">
        <v>45847.662488425929</v>
      </c>
      <c r="B156" t="s">
        <v>204</v>
      </c>
    </row>
    <row r="157" spans="1:2" x14ac:dyDescent="0.4">
      <c r="A157" s="11">
        <v>45847.662488425929</v>
      </c>
      <c r="B157" t="s">
        <v>205</v>
      </c>
    </row>
    <row r="158" spans="1:2" x14ac:dyDescent="0.4">
      <c r="A158" s="11">
        <v>45847.662499999999</v>
      </c>
      <c r="B158" t="s">
        <v>427</v>
      </c>
    </row>
    <row r="159" spans="1:2" x14ac:dyDescent="0.4">
      <c r="A159" s="11">
        <v>45847.662499999999</v>
      </c>
      <c r="B159" t="s">
        <v>207</v>
      </c>
    </row>
    <row r="160" spans="1:2" x14ac:dyDescent="0.4">
      <c r="A160" s="11">
        <v>45847.662499999999</v>
      </c>
      <c r="B160" t="s">
        <v>208</v>
      </c>
    </row>
    <row r="161" spans="1:2" x14ac:dyDescent="0.4">
      <c r="A161" s="11">
        <v>45847.662499999999</v>
      </c>
      <c r="B161" t="s">
        <v>209</v>
      </c>
    </row>
    <row r="162" spans="1:2" x14ac:dyDescent="0.4">
      <c r="A162" s="11">
        <v>45847.662499999999</v>
      </c>
      <c r="B162" t="s">
        <v>166</v>
      </c>
    </row>
    <row r="163" spans="1:2" x14ac:dyDescent="0.4">
      <c r="A163" s="11">
        <v>45847.662499999999</v>
      </c>
      <c r="B163" t="s">
        <v>252</v>
      </c>
    </row>
    <row r="164" spans="1:2" x14ac:dyDescent="0.4">
      <c r="A164" s="11">
        <v>45847.662499999999</v>
      </c>
      <c r="B164" t="s">
        <v>252</v>
      </c>
    </row>
    <row r="165" spans="1:2" x14ac:dyDescent="0.4">
      <c r="A165" s="11">
        <v>45847.662499999999</v>
      </c>
      <c r="B165" t="s">
        <v>253</v>
      </c>
    </row>
    <row r="166" spans="1:2" x14ac:dyDescent="0.4">
      <c r="A166" s="11">
        <v>45847.662499999999</v>
      </c>
      <c r="B166" t="s">
        <v>253</v>
      </c>
    </row>
    <row r="167" spans="1:2" x14ac:dyDescent="0.4">
      <c r="A167" s="11">
        <v>45847.662499999999</v>
      </c>
      <c r="B167" t="s">
        <v>253</v>
      </c>
    </row>
    <row r="168" spans="1:2" x14ac:dyDescent="0.4">
      <c r="A168" s="11">
        <v>45847.662499999999</v>
      </c>
      <c r="B168" t="s">
        <v>253</v>
      </c>
    </row>
    <row r="169" spans="1:2" x14ac:dyDescent="0.4">
      <c r="A169" s="11">
        <v>45847.662499999999</v>
      </c>
      <c r="B169" t="s">
        <v>253</v>
      </c>
    </row>
    <row r="170" spans="1:2" x14ac:dyDescent="0.4">
      <c r="A170" s="11">
        <v>45847.662499999999</v>
      </c>
      <c r="B170" t="s">
        <v>254</v>
      </c>
    </row>
    <row r="171" spans="1:2" x14ac:dyDescent="0.4">
      <c r="A171" s="11">
        <v>45847.662499999999</v>
      </c>
      <c r="B171" t="s">
        <v>254</v>
      </c>
    </row>
    <row r="172" spans="1:2" x14ac:dyDescent="0.4">
      <c r="A172" s="11">
        <v>45847.662499999999</v>
      </c>
      <c r="B172" t="s">
        <v>255</v>
      </c>
    </row>
    <row r="173" spans="1:2" x14ac:dyDescent="0.4">
      <c r="A173" s="11">
        <v>45847.662499999999</v>
      </c>
      <c r="B173" t="s">
        <v>255</v>
      </c>
    </row>
    <row r="174" spans="1:2" x14ac:dyDescent="0.4">
      <c r="A174" s="11">
        <v>45847.662499999999</v>
      </c>
      <c r="B174" t="s">
        <v>255</v>
      </c>
    </row>
    <row r="175" spans="1:2" x14ac:dyDescent="0.4">
      <c r="A175" s="11">
        <v>45847.662499999999</v>
      </c>
      <c r="B175" t="s">
        <v>255</v>
      </c>
    </row>
    <row r="176" spans="1:2" x14ac:dyDescent="0.4">
      <c r="A176" s="11">
        <v>45847.662499999999</v>
      </c>
      <c r="B176" t="s">
        <v>255</v>
      </c>
    </row>
    <row r="177" spans="1:2" x14ac:dyDescent="0.4">
      <c r="A177" s="11">
        <v>45847.662499999999</v>
      </c>
      <c r="B177" t="s">
        <v>256</v>
      </c>
    </row>
    <row r="178" spans="1:2" x14ac:dyDescent="0.4">
      <c r="A178" s="11">
        <v>45847.662499999999</v>
      </c>
      <c r="B178" t="s">
        <v>256</v>
      </c>
    </row>
    <row r="179" spans="1:2" x14ac:dyDescent="0.4">
      <c r="A179" s="11">
        <v>45847.662499999999</v>
      </c>
      <c r="B179" t="s">
        <v>257</v>
      </c>
    </row>
    <row r="180" spans="1:2" x14ac:dyDescent="0.4">
      <c r="A180" s="11">
        <v>45847.662499999999</v>
      </c>
      <c r="B180" t="s">
        <v>257</v>
      </c>
    </row>
    <row r="181" spans="1:2" x14ac:dyDescent="0.4">
      <c r="A181" s="11">
        <v>45847.662499999999</v>
      </c>
      <c r="B181" t="s">
        <v>257</v>
      </c>
    </row>
    <row r="182" spans="1:2" x14ac:dyDescent="0.4">
      <c r="A182" s="11">
        <v>45847.662499999999</v>
      </c>
      <c r="B182" t="s">
        <v>257</v>
      </c>
    </row>
    <row r="183" spans="1:2" x14ac:dyDescent="0.4">
      <c r="A183" s="11">
        <v>45847.662499999999</v>
      </c>
      <c r="B183" t="s">
        <v>257</v>
      </c>
    </row>
    <row r="184" spans="1:2" x14ac:dyDescent="0.4">
      <c r="A184" s="11">
        <v>45847.662499999999</v>
      </c>
      <c r="B184" t="s">
        <v>258</v>
      </c>
    </row>
    <row r="185" spans="1:2" x14ac:dyDescent="0.4">
      <c r="A185" s="11">
        <v>45847.662499999999</v>
      </c>
      <c r="B185" t="s">
        <v>258</v>
      </c>
    </row>
    <row r="186" spans="1:2" x14ac:dyDescent="0.4">
      <c r="A186" s="11">
        <v>45847.662499999999</v>
      </c>
      <c r="B186" t="s">
        <v>259</v>
      </c>
    </row>
    <row r="187" spans="1:2" x14ac:dyDescent="0.4">
      <c r="A187" s="11">
        <v>45847.662499999999</v>
      </c>
      <c r="B187" t="s">
        <v>259</v>
      </c>
    </row>
    <row r="188" spans="1:2" x14ac:dyDescent="0.4">
      <c r="A188" s="11">
        <v>45847.662499999999</v>
      </c>
      <c r="B188" t="s">
        <v>259</v>
      </c>
    </row>
    <row r="189" spans="1:2" x14ac:dyDescent="0.4">
      <c r="A189" s="11">
        <v>45847.662499999999</v>
      </c>
      <c r="B189" t="s">
        <v>259</v>
      </c>
    </row>
    <row r="190" spans="1:2" x14ac:dyDescent="0.4">
      <c r="A190" s="11">
        <v>45847.662499999999</v>
      </c>
      <c r="B190" t="s">
        <v>259</v>
      </c>
    </row>
    <row r="191" spans="1:2" x14ac:dyDescent="0.4">
      <c r="A191" s="11">
        <v>45847.662499999999</v>
      </c>
      <c r="B191" t="s">
        <v>260</v>
      </c>
    </row>
    <row r="192" spans="1:2" x14ac:dyDescent="0.4">
      <c r="A192" s="11">
        <v>45847.662499999999</v>
      </c>
      <c r="B192" t="s">
        <v>260</v>
      </c>
    </row>
    <row r="193" spans="1:2" x14ac:dyDescent="0.4">
      <c r="A193" s="11">
        <v>45847.662499999999</v>
      </c>
      <c r="B193" t="s">
        <v>261</v>
      </c>
    </row>
    <row r="194" spans="1:2" x14ac:dyDescent="0.4">
      <c r="A194" s="11">
        <v>45847.662499999999</v>
      </c>
      <c r="B194" t="s">
        <v>261</v>
      </c>
    </row>
    <row r="195" spans="1:2" x14ac:dyDescent="0.4">
      <c r="A195" s="11">
        <v>45847.662499999999</v>
      </c>
      <c r="B195" t="s">
        <v>261</v>
      </c>
    </row>
    <row r="196" spans="1:2" x14ac:dyDescent="0.4">
      <c r="A196" s="11">
        <v>45847.662499999999</v>
      </c>
      <c r="B196" t="s">
        <v>261</v>
      </c>
    </row>
    <row r="197" spans="1:2" x14ac:dyDescent="0.4">
      <c r="A197" s="11">
        <v>45847.662499999999</v>
      </c>
      <c r="B197" t="s">
        <v>261</v>
      </c>
    </row>
    <row r="198" spans="1:2" x14ac:dyDescent="0.4">
      <c r="A198" s="11">
        <v>45847.662499999999</v>
      </c>
      <c r="B198" t="s">
        <v>262</v>
      </c>
    </row>
    <row r="199" spans="1:2" x14ac:dyDescent="0.4">
      <c r="A199" s="11">
        <v>45847.662499999999</v>
      </c>
      <c r="B199" t="s">
        <v>252</v>
      </c>
    </row>
    <row r="200" spans="1:2" x14ac:dyDescent="0.4">
      <c r="A200" s="11">
        <v>45847.662499999999</v>
      </c>
      <c r="B200" t="s">
        <v>252</v>
      </c>
    </row>
    <row r="201" spans="1:2" x14ac:dyDescent="0.4">
      <c r="A201" s="11">
        <v>45847.662499999999</v>
      </c>
      <c r="B201" t="s">
        <v>253</v>
      </c>
    </row>
    <row r="202" spans="1:2" x14ac:dyDescent="0.4">
      <c r="A202" s="11">
        <v>45847.662499999999</v>
      </c>
      <c r="B202" t="s">
        <v>253</v>
      </c>
    </row>
    <row r="203" spans="1:2" x14ac:dyDescent="0.4">
      <c r="A203" s="11">
        <v>45847.662499999999</v>
      </c>
      <c r="B203" t="s">
        <v>253</v>
      </c>
    </row>
    <row r="204" spans="1:2" x14ac:dyDescent="0.4">
      <c r="A204" s="11">
        <v>45847.662499999999</v>
      </c>
      <c r="B204" t="s">
        <v>253</v>
      </c>
    </row>
    <row r="205" spans="1:2" x14ac:dyDescent="0.4">
      <c r="A205" s="11">
        <v>45847.662499999999</v>
      </c>
      <c r="B205" t="s">
        <v>253</v>
      </c>
    </row>
    <row r="206" spans="1:2" x14ac:dyDescent="0.4">
      <c r="A206" s="11">
        <v>45847.662499999999</v>
      </c>
      <c r="B206" t="s">
        <v>254</v>
      </c>
    </row>
    <row r="207" spans="1:2" x14ac:dyDescent="0.4">
      <c r="A207" s="11">
        <v>45847.662499999999</v>
      </c>
      <c r="B207" t="s">
        <v>254</v>
      </c>
    </row>
    <row r="208" spans="1:2" x14ac:dyDescent="0.4">
      <c r="A208" s="11">
        <v>45847.662499999999</v>
      </c>
      <c r="B208" t="s">
        <v>255</v>
      </c>
    </row>
    <row r="209" spans="1:2" x14ac:dyDescent="0.4">
      <c r="A209" s="11">
        <v>45847.662499999999</v>
      </c>
      <c r="B209" t="s">
        <v>255</v>
      </c>
    </row>
    <row r="210" spans="1:2" x14ac:dyDescent="0.4">
      <c r="A210" s="11">
        <v>45847.662499999999</v>
      </c>
      <c r="B210" t="s">
        <v>255</v>
      </c>
    </row>
    <row r="211" spans="1:2" x14ac:dyDescent="0.4">
      <c r="A211" s="11">
        <v>45847.662499999999</v>
      </c>
      <c r="B211" t="s">
        <v>255</v>
      </c>
    </row>
    <row r="212" spans="1:2" x14ac:dyDescent="0.4">
      <c r="A212" s="11">
        <v>45847.662499999999</v>
      </c>
      <c r="B212" t="s">
        <v>255</v>
      </c>
    </row>
    <row r="213" spans="1:2" x14ac:dyDescent="0.4">
      <c r="A213" s="11">
        <v>45847.662499999999</v>
      </c>
      <c r="B213" t="s">
        <v>256</v>
      </c>
    </row>
    <row r="214" spans="1:2" x14ac:dyDescent="0.4">
      <c r="A214" s="11">
        <v>45847.662499999999</v>
      </c>
      <c r="B214" t="s">
        <v>256</v>
      </c>
    </row>
    <row r="215" spans="1:2" x14ac:dyDescent="0.4">
      <c r="A215" s="11">
        <v>45847.662499999999</v>
      </c>
      <c r="B215" t="s">
        <v>257</v>
      </c>
    </row>
    <row r="216" spans="1:2" x14ac:dyDescent="0.4">
      <c r="A216" s="11">
        <v>45847.662499999999</v>
      </c>
      <c r="B216" t="s">
        <v>257</v>
      </c>
    </row>
    <row r="217" spans="1:2" x14ac:dyDescent="0.4">
      <c r="A217" s="11">
        <v>45847.662499999999</v>
      </c>
      <c r="B217" t="s">
        <v>257</v>
      </c>
    </row>
    <row r="218" spans="1:2" x14ac:dyDescent="0.4">
      <c r="A218" s="11">
        <v>45847.662499999999</v>
      </c>
      <c r="B218" t="s">
        <v>257</v>
      </c>
    </row>
    <row r="219" spans="1:2" x14ac:dyDescent="0.4">
      <c r="A219" s="11">
        <v>45847.662499999999</v>
      </c>
      <c r="B219" t="s">
        <v>257</v>
      </c>
    </row>
    <row r="220" spans="1:2" x14ac:dyDescent="0.4">
      <c r="A220" s="11">
        <v>45847.662499999999</v>
      </c>
      <c r="B220" t="s">
        <v>258</v>
      </c>
    </row>
    <row r="221" spans="1:2" x14ac:dyDescent="0.4">
      <c r="A221" s="11">
        <v>45847.662499999999</v>
      </c>
      <c r="B221" t="s">
        <v>258</v>
      </c>
    </row>
    <row r="222" spans="1:2" x14ac:dyDescent="0.4">
      <c r="A222" s="11">
        <v>45847.662499999999</v>
      </c>
      <c r="B222" t="s">
        <v>259</v>
      </c>
    </row>
    <row r="223" spans="1:2" x14ac:dyDescent="0.4">
      <c r="A223" s="11">
        <v>45847.662499999999</v>
      </c>
      <c r="B223" t="s">
        <v>259</v>
      </c>
    </row>
    <row r="224" spans="1:2" x14ac:dyDescent="0.4">
      <c r="A224" s="11">
        <v>45847.662499999999</v>
      </c>
      <c r="B224" t="s">
        <v>259</v>
      </c>
    </row>
    <row r="225" spans="1:2" x14ac:dyDescent="0.4">
      <c r="A225" s="11">
        <v>45847.662499999999</v>
      </c>
      <c r="B225" t="s">
        <v>259</v>
      </c>
    </row>
    <row r="226" spans="1:2" x14ac:dyDescent="0.4">
      <c r="A226" s="11">
        <v>45847.662499999999</v>
      </c>
      <c r="B226" t="s">
        <v>259</v>
      </c>
    </row>
    <row r="227" spans="1:2" x14ac:dyDescent="0.4">
      <c r="A227" s="11">
        <v>45847.662499999999</v>
      </c>
      <c r="B227" t="s">
        <v>260</v>
      </c>
    </row>
    <row r="228" spans="1:2" x14ac:dyDescent="0.4">
      <c r="A228" s="11">
        <v>45847.662499999999</v>
      </c>
      <c r="B228" t="s">
        <v>260</v>
      </c>
    </row>
    <row r="229" spans="1:2" x14ac:dyDescent="0.4">
      <c r="A229" s="11">
        <v>45847.662499999999</v>
      </c>
      <c r="B229" t="s">
        <v>261</v>
      </c>
    </row>
    <row r="230" spans="1:2" x14ac:dyDescent="0.4">
      <c r="A230" s="11">
        <v>45847.662499999999</v>
      </c>
      <c r="B230" t="s">
        <v>261</v>
      </c>
    </row>
    <row r="231" spans="1:2" x14ac:dyDescent="0.4">
      <c r="A231" s="11">
        <v>45847.662499999999</v>
      </c>
      <c r="B231" t="s">
        <v>261</v>
      </c>
    </row>
    <row r="232" spans="1:2" x14ac:dyDescent="0.4">
      <c r="A232" s="11">
        <v>45847.662499999999</v>
      </c>
      <c r="B232" t="s">
        <v>261</v>
      </c>
    </row>
    <row r="233" spans="1:2" x14ac:dyDescent="0.4">
      <c r="A233" s="11">
        <v>45847.662499999999</v>
      </c>
      <c r="B233" t="s">
        <v>261</v>
      </c>
    </row>
    <row r="234" spans="1:2" x14ac:dyDescent="0.4">
      <c r="A234" s="11">
        <v>45847.662499999999</v>
      </c>
      <c r="B234" t="s">
        <v>263</v>
      </c>
    </row>
    <row r="235" spans="1:2" x14ac:dyDescent="0.4">
      <c r="A235" s="11">
        <v>45847.662499999999</v>
      </c>
      <c r="B235" t="s">
        <v>251</v>
      </c>
    </row>
    <row r="236" spans="1:2" x14ac:dyDescent="0.4">
      <c r="A236" s="11">
        <v>45847.662499999999</v>
      </c>
      <c r="B236" t="s">
        <v>210</v>
      </c>
    </row>
    <row r="237" spans="1:2" x14ac:dyDescent="0.4">
      <c r="A237" s="11">
        <v>45847.662499999999</v>
      </c>
      <c r="B237" t="s">
        <v>211</v>
      </c>
    </row>
    <row r="238" spans="1:2" x14ac:dyDescent="0.4">
      <c r="A238" s="11">
        <v>45847.662499999999</v>
      </c>
      <c r="B238" t="s">
        <v>212</v>
      </c>
    </row>
    <row r="239" spans="1:2" x14ac:dyDescent="0.4">
      <c r="A239" s="11">
        <v>45847.662499999999</v>
      </c>
      <c r="B239" t="s">
        <v>166</v>
      </c>
    </row>
    <row r="240" spans="1:2" x14ac:dyDescent="0.4">
      <c r="A240" s="11">
        <v>45847.662499999999</v>
      </c>
      <c r="B240" t="s">
        <v>265</v>
      </c>
    </row>
    <row r="241" spans="1:2" x14ac:dyDescent="0.4">
      <c r="A241" s="11">
        <v>45847.662499999999</v>
      </c>
      <c r="B241" t="s">
        <v>265</v>
      </c>
    </row>
    <row r="242" spans="1:2" x14ac:dyDescent="0.4">
      <c r="A242" s="11">
        <v>45847.662499999999</v>
      </c>
      <c r="B242" t="s">
        <v>266</v>
      </c>
    </row>
    <row r="243" spans="1:2" x14ac:dyDescent="0.4">
      <c r="A243" s="11">
        <v>45847.662499999999</v>
      </c>
      <c r="B243" t="s">
        <v>266</v>
      </c>
    </row>
    <row r="244" spans="1:2" x14ac:dyDescent="0.4">
      <c r="A244" s="11">
        <v>45847.662499999999</v>
      </c>
      <c r="B244" t="s">
        <v>266</v>
      </c>
    </row>
    <row r="245" spans="1:2" x14ac:dyDescent="0.4">
      <c r="A245" s="11">
        <v>45847.662499999999</v>
      </c>
      <c r="B245" t="s">
        <v>266</v>
      </c>
    </row>
    <row r="246" spans="1:2" x14ac:dyDescent="0.4">
      <c r="A246" s="11">
        <v>45847.662499999999</v>
      </c>
      <c r="B246" t="s">
        <v>266</v>
      </c>
    </row>
    <row r="247" spans="1:2" x14ac:dyDescent="0.4">
      <c r="A247" s="11">
        <v>45847.662499999999</v>
      </c>
      <c r="B247" t="s">
        <v>267</v>
      </c>
    </row>
    <row r="248" spans="1:2" x14ac:dyDescent="0.4">
      <c r="A248" s="11">
        <v>45847.662499999999</v>
      </c>
      <c r="B248" t="s">
        <v>267</v>
      </c>
    </row>
    <row r="249" spans="1:2" x14ac:dyDescent="0.4">
      <c r="A249" s="11">
        <v>45847.662499999999</v>
      </c>
      <c r="B249" t="s">
        <v>268</v>
      </c>
    </row>
    <row r="250" spans="1:2" x14ac:dyDescent="0.4">
      <c r="A250" s="11">
        <v>45847.662499999999</v>
      </c>
      <c r="B250" t="s">
        <v>268</v>
      </c>
    </row>
    <row r="251" spans="1:2" x14ac:dyDescent="0.4">
      <c r="A251" s="11">
        <v>45847.662499999999</v>
      </c>
      <c r="B251" t="s">
        <v>268</v>
      </c>
    </row>
    <row r="252" spans="1:2" x14ac:dyDescent="0.4">
      <c r="A252" s="11">
        <v>45847.662499999999</v>
      </c>
      <c r="B252" t="s">
        <v>268</v>
      </c>
    </row>
    <row r="253" spans="1:2" x14ac:dyDescent="0.4">
      <c r="A253" s="11">
        <v>45847.662499999999</v>
      </c>
      <c r="B253" t="s">
        <v>268</v>
      </c>
    </row>
    <row r="254" spans="1:2" x14ac:dyDescent="0.4">
      <c r="A254" s="11">
        <v>45847.662499999999</v>
      </c>
      <c r="B254" t="s">
        <v>269</v>
      </c>
    </row>
    <row r="255" spans="1:2" x14ac:dyDescent="0.4">
      <c r="A255" s="11">
        <v>45847.662499999999</v>
      </c>
      <c r="B255" t="s">
        <v>269</v>
      </c>
    </row>
    <row r="256" spans="1:2" x14ac:dyDescent="0.4">
      <c r="A256" s="11">
        <v>45847.662499999999</v>
      </c>
      <c r="B256" t="s">
        <v>270</v>
      </c>
    </row>
    <row r="257" spans="1:2" x14ac:dyDescent="0.4">
      <c r="A257" s="11">
        <v>45847.662499999999</v>
      </c>
      <c r="B257" t="s">
        <v>270</v>
      </c>
    </row>
    <row r="258" spans="1:2" x14ac:dyDescent="0.4">
      <c r="A258" s="11">
        <v>45847.662499999999</v>
      </c>
      <c r="B258" t="s">
        <v>270</v>
      </c>
    </row>
    <row r="259" spans="1:2" x14ac:dyDescent="0.4">
      <c r="A259" s="11">
        <v>45847.662499999999</v>
      </c>
      <c r="B259" t="s">
        <v>270</v>
      </c>
    </row>
    <row r="260" spans="1:2" x14ac:dyDescent="0.4">
      <c r="A260" s="11">
        <v>45847.662499999999</v>
      </c>
      <c r="B260" t="s">
        <v>270</v>
      </c>
    </row>
    <row r="261" spans="1:2" x14ac:dyDescent="0.4">
      <c r="A261" s="11">
        <v>45847.662499999999</v>
      </c>
      <c r="B261" t="s">
        <v>271</v>
      </c>
    </row>
    <row r="262" spans="1:2" x14ac:dyDescent="0.4">
      <c r="A262" s="11">
        <v>45847.662499999999</v>
      </c>
      <c r="B262" t="s">
        <v>271</v>
      </c>
    </row>
    <row r="263" spans="1:2" x14ac:dyDescent="0.4">
      <c r="A263" s="11">
        <v>45847.662499999999</v>
      </c>
      <c r="B263" t="s">
        <v>272</v>
      </c>
    </row>
    <row r="264" spans="1:2" x14ac:dyDescent="0.4">
      <c r="A264" s="11">
        <v>45847.662499999999</v>
      </c>
      <c r="B264" t="s">
        <v>272</v>
      </c>
    </row>
    <row r="265" spans="1:2" x14ac:dyDescent="0.4">
      <c r="A265" s="11">
        <v>45847.662499999999</v>
      </c>
      <c r="B265" t="s">
        <v>272</v>
      </c>
    </row>
    <row r="266" spans="1:2" x14ac:dyDescent="0.4">
      <c r="A266" s="11">
        <v>45847.662499999999</v>
      </c>
      <c r="B266" t="s">
        <v>272</v>
      </c>
    </row>
    <row r="267" spans="1:2" x14ac:dyDescent="0.4">
      <c r="A267" s="11">
        <v>45847.662499999999</v>
      </c>
      <c r="B267" t="s">
        <v>272</v>
      </c>
    </row>
    <row r="268" spans="1:2" x14ac:dyDescent="0.4">
      <c r="A268" s="11">
        <v>45847.662499999999</v>
      </c>
      <c r="B268" t="s">
        <v>273</v>
      </c>
    </row>
    <row r="269" spans="1:2" x14ac:dyDescent="0.4">
      <c r="A269" s="11">
        <v>45847.662499999999</v>
      </c>
      <c r="B269" t="s">
        <v>273</v>
      </c>
    </row>
    <row r="270" spans="1:2" x14ac:dyDescent="0.4">
      <c r="A270" s="11">
        <v>45847.662499999999</v>
      </c>
      <c r="B270" t="s">
        <v>274</v>
      </c>
    </row>
    <row r="271" spans="1:2" x14ac:dyDescent="0.4">
      <c r="A271" s="11">
        <v>45847.662499999999</v>
      </c>
      <c r="B271" t="s">
        <v>274</v>
      </c>
    </row>
    <row r="272" spans="1:2" x14ac:dyDescent="0.4">
      <c r="A272" s="11">
        <v>45847.662499999999</v>
      </c>
      <c r="B272" t="s">
        <v>274</v>
      </c>
    </row>
    <row r="273" spans="1:2" x14ac:dyDescent="0.4">
      <c r="A273" s="11">
        <v>45847.662499999999</v>
      </c>
      <c r="B273" t="s">
        <v>274</v>
      </c>
    </row>
    <row r="274" spans="1:2" x14ac:dyDescent="0.4">
      <c r="A274" s="11">
        <v>45847.662499999999</v>
      </c>
      <c r="B274" t="s">
        <v>274</v>
      </c>
    </row>
    <row r="275" spans="1:2" x14ac:dyDescent="0.4">
      <c r="A275" s="11">
        <v>45847.662499999999</v>
      </c>
      <c r="B275" t="s">
        <v>275</v>
      </c>
    </row>
    <row r="276" spans="1:2" x14ac:dyDescent="0.4">
      <c r="A276" s="11">
        <v>45847.662499999999</v>
      </c>
      <c r="B276" t="s">
        <v>265</v>
      </c>
    </row>
    <row r="277" spans="1:2" x14ac:dyDescent="0.4">
      <c r="A277" s="11">
        <v>45847.662499999999</v>
      </c>
      <c r="B277" t="s">
        <v>265</v>
      </c>
    </row>
    <row r="278" spans="1:2" x14ac:dyDescent="0.4">
      <c r="A278" s="11">
        <v>45847.662499999999</v>
      </c>
      <c r="B278" t="s">
        <v>266</v>
      </c>
    </row>
    <row r="279" spans="1:2" x14ac:dyDescent="0.4">
      <c r="A279" s="11">
        <v>45847.662499999999</v>
      </c>
      <c r="B279" t="s">
        <v>266</v>
      </c>
    </row>
    <row r="280" spans="1:2" x14ac:dyDescent="0.4">
      <c r="A280" s="11">
        <v>45847.662499999999</v>
      </c>
      <c r="B280" t="s">
        <v>266</v>
      </c>
    </row>
    <row r="281" spans="1:2" x14ac:dyDescent="0.4">
      <c r="A281" s="11">
        <v>45847.662499999999</v>
      </c>
      <c r="B281" t="s">
        <v>266</v>
      </c>
    </row>
    <row r="282" spans="1:2" x14ac:dyDescent="0.4">
      <c r="A282" s="11">
        <v>45847.662499999999</v>
      </c>
      <c r="B282" t="s">
        <v>266</v>
      </c>
    </row>
    <row r="283" spans="1:2" x14ac:dyDescent="0.4">
      <c r="A283" s="11">
        <v>45847.662499999999</v>
      </c>
      <c r="B283" t="s">
        <v>267</v>
      </c>
    </row>
    <row r="284" spans="1:2" x14ac:dyDescent="0.4">
      <c r="A284" s="11">
        <v>45847.662499999999</v>
      </c>
      <c r="B284" t="s">
        <v>267</v>
      </c>
    </row>
    <row r="285" spans="1:2" x14ac:dyDescent="0.4">
      <c r="A285" s="11">
        <v>45847.662499999999</v>
      </c>
      <c r="B285" t="s">
        <v>268</v>
      </c>
    </row>
    <row r="286" spans="1:2" x14ac:dyDescent="0.4">
      <c r="A286" s="11">
        <v>45847.662499999999</v>
      </c>
      <c r="B286" t="s">
        <v>268</v>
      </c>
    </row>
    <row r="287" spans="1:2" x14ac:dyDescent="0.4">
      <c r="A287" s="11">
        <v>45847.662499999999</v>
      </c>
      <c r="B287" t="s">
        <v>268</v>
      </c>
    </row>
    <row r="288" spans="1:2" x14ac:dyDescent="0.4">
      <c r="A288" s="11">
        <v>45847.662499999999</v>
      </c>
      <c r="B288" t="s">
        <v>268</v>
      </c>
    </row>
    <row r="289" spans="1:2" x14ac:dyDescent="0.4">
      <c r="A289" s="11">
        <v>45847.662499999999</v>
      </c>
      <c r="B289" t="s">
        <v>268</v>
      </c>
    </row>
    <row r="290" spans="1:2" x14ac:dyDescent="0.4">
      <c r="A290" s="11">
        <v>45847.662499999999</v>
      </c>
      <c r="B290" t="s">
        <v>269</v>
      </c>
    </row>
    <row r="291" spans="1:2" x14ac:dyDescent="0.4">
      <c r="A291" s="11">
        <v>45847.662499999999</v>
      </c>
      <c r="B291" t="s">
        <v>269</v>
      </c>
    </row>
    <row r="292" spans="1:2" x14ac:dyDescent="0.4">
      <c r="A292" s="11">
        <v>45847.662499999999</v>
      </c>
      <c r="B292" t="s">
        <v>270</v>
      </c>
    </row>
    <row r="293" spans="1:2" x14ac:dyDescent="0.4">
      <c r="A293" s="11">
        <v>45847.662499999999</v>
      </c>
      <c r="B293" t="s">
        <v>270</v>
      </c>
    </row>
    <row r="294" spans="1:2" x14ac:dyDescent="0.4">
      <c r="A294" s="11">
        <v>45847.662499999999</v>
      </c>
      <c r="B294" t="s">
        <v>270</v>
      </c>
    </row>
    <row r="295" spans="1:2" x14ac:dyDescent="0.4">
      <c r="A295" s="11">
        <v>45847.662499999999</v>
      </c>
      <c r="B295" t="s">
        <v>270</v>
      </c>
    </row>
    <row r="296" spans="1:2" x14ac:dyDescent="0.4">
      <c r="A296" s="11">
        <v>45847.662499999999</v>
      </c>
      <c r="B296" t="s">
        <v>270</v>
      </c>
    </row>
    <row r="297" spans="1:2" x14ac:dyDescent="0.4">
      <c r="A297" s="11">
        <v>45847.662499999999</v>
      </c>
      <c r="B297" t="s">
        <v>271</v>
      </c>
    </row>
    <row r="298" spans="1:2" x14ac:dyDescent="0.4">
      <c r="A298" s="11">
        <v>45847.662499999999</v>
      </c>
      <c r="B298" t="s">
        <v>271</v>
      </c>
    </row>
    <row r="299" spans="1:2" x14ac:dyDescent="0.4">
      <c r="A299" s="11">
        <v>45847.662499999999</v>
      </c>
      <c r="B299" t="s">
        <v>272</v>
      </c>
    </row>
    <row r="300" spans="1:2" x14ac:dyDescent="0.4">
      <c r="A300" s="11">
        <v>45847.662499999999</v>
      </c>
      <c r="B300" t="s">
        <v>272</v>
      </c>
    </row>
    <row r="301" spans="1:2" x14ac:dyDescent="0.4">
      <c r="A301" s="11">
        <v>45847.662499999999</v>
      </c>
      <c r="B301" t="s">
        <v>272</v>
      </c>
    </row>
    <row r="302" spans="1:2" x14ac:dyDescent="0.4">
      <c r="A302" s="11">
        <v>45847.662499999999</v>
      </c>
      <c r="B302" t="s">
        <v>272</v>
      </c>
    </row>
    <row r="303" spans="1:2" x14ac:dyDescent="0.4">
      <c r="A303" s="11">
        <v>45847.662499999999</v>
      </c>
      <c r="B303" t="s">
        <v>272</v>
      </c>
    </row>
    <row r="304" spans="1:2" x14ac:dyDescent="0.4">
      <c r="A304" s="11">
        <v>45847.662499999999</v>
      </c>
      <c r="B304" t="s">
        <v>273</v>
      </c>
    </row>
    <row r="305" spans="1:2" x14ac:dyDescent="0.4">
      <c r="A305" s="11">
        <v>45847.662499999999</v>
      </c>
      <c r="B305" t="s">
        <v>273</v>
      </c>
    </row>
    <row r="306" spans="1:2" x14ac:dyDescent="0.4">
      <c r="A306" s="11">
        <v>45847.662499999999</v>
      </c>
      <c r="B306" t="s">
        <v>274</v>
      </c>
    </row>
    <row r="307" spans="1:2" x14ac:dyDescent="0.4">
      <c r="A307" s="11">
        <v>45847.662499999999</v>
      </c>
      <c r="B307" t="s">
        <v>274</v>
      </c>
    </row>
    <row r="308" spans="1:2" x14ac:dyDescent="0.4">
      <c r="A308" s="11">
        <v>45847.662499999999</v>
      </c>
      <c r="B308" t="s">
        <v>274</v>
      </c>
    </row>
    <row r="309" spans="1:2" x14ac:dyDescent="0.4">
      <c r="A309" s="11">
        <v>45847.662499999999</v>
      </c>
      <c r="B309" t="s">
        <v>274</v>
      </c>
    </row>
    <row r="310" spans="1:2" x14ac:dyDescent="0.4">
      <c r="A310" s="11">
        <v>45847.662499999999</v>
      </c>
      <c r="B310" t="s">
        <v>274</v>
      </c>
    </row>
    <row r="311" spans="1:2" x14ac:dyDescent="0.4">
      <c r="A311" s="11">
        <v>45847.662499999999</v>
      </c>
      <c r="B311" t="s">
        <v>276</v>
      </c>
    </row>
    <row r="312" spans="1:2" x14ac:dyDescent="0.4">
      <c r="A312" s="11">
        <v>45847.662499999999</v>
      </c>
      <c r="B312" t="s">
        <v>251</v>
      </c>
    </row>
    <row r="313" spans="1:2" x14ac:dyDescent="0.4">
      <c r="A313" s="11">
        <v>45847.662499999999</v>
      </c>
      <c r="B313" t="s">
        <v>213</v>
      </c>
    </row>
    <row r="314" spans="1:2" x14ac:dyDescent="0.4">
      <c r="A314" s="11">
        <v>45847.662499999999</v>
      </c>
      <c r="B314" t="s">
        <v>214</v>
      </c>
    </row>
    <row r="315" spans="1:2" x14ac:dyDescent="0.4">
      <c r="A315" s="11">
        <v>45847.662499999999</v>
      </c>
      <c r="B315" t="s">
        <v>215</v>
      </c>
    </row>
    <row r="316" spans="1:2" x14ac:dyDescent="0.4">
      <c r="A316" s="11">
        <v>45847.662499999999</v>
      </c>
      <c r="B316" t="s">
        <v>166</v>
      </c>
    </row>
    <row r="317" spans="1:2" x14ac:dyDescent="0.4">
      <c r="A317" s="11">
        <v>45847.662499999999</v>
      </c>
      <c r="B317" t="s">
        <v>278</v>
      </c>
    </row>
    <row r="318" spans="1:2" x14ac:dyDescent="0.4">
      <c r="A318" s="11">
        <v>45847.662499999999</v>
      </c>
      <c r="B318" t="s">
        <v>278</v>
      </c>
    </row>
    <row r="319" spans="1:2" x14ac:dyDescent="0.4">
      <c r="A319" s="11">
        <v>45847.662499999999</v>
      </c>
      <c r="B319" t="s">
        <v>279</v>
      </c>
    </row>
    <row r="320" spans="1:2" x14ac:dyDescent="0.4">
      <c r="A320" s="11">
        <v>45847.662499999999</v>
      </c>
      <c r="B320" t="s">
        <v>279</v>
      </c>
    </row>
    <row r="321" spans="1:2" x14ac:dyDescent="0.4">
      <c r="A321" s="11">
        <v>45847.662499999999</v>
      </c>
      <c r="B321" t="s">
        <v>279</v>
      </c>
    </row>
    <row r="322" spans="1:2" x14ac:dyDescent="0.4">
      <c r="A322" s="11">
        <v>45847.662499999999</v>
      </c>
      <c r="B322" t="s">
        <v>279</v>
      </c>
    </row>
    <row r="323" spans="1:2" x14ac:dyDescent="0.4">
      <c r="A323" s="11">
        <v>45847.662499999999</v>
      </c>
      <c r="B323" t="s">
        <v>279</v>
      </c>
    </row>
    <row r="324" spans="1:2" x14ac:dyDescent="0.4">
      <c r="A324" s="11">
        <v>45847.662499999999</v>
      </c>
      <c r="B324" t="s">
        <v>280</v>
      </c>
    </row>
    <row r="325" spans="1:2" x14ac:dyDescent="0.4">
      <c r="A325" s="11">
        <v>45847.662499999999</v>
      </c>
      <c r="B325" t="s">
        <v>280</v>
      </c>
    </row>
    <row r="326" spans="1:2" x14ac:dyDescent="0.4">
      <c r="A326" s="11">
        <v>45847.662499999999</v>
      </c>
      <c r="B326" t="s">
        <v>281</v>
      </c>
    </row>
    <row r="327" spans="1:2" x14ac:dyDescent="0.4">
      <c r="A327" s="11">
        <v>45847.662499999999</v>
      </c>
      <c r="B327" t="s">
        <v>281</v>
      </c>
    </row>
    <row r="328" spans="1:2" x14ac:dyDescent="0.4">
      <c r="A328" s="11">
        <v>45847.662499999999</v>
      </c>
      <c r="B328" t="s">
        <v>281</v>
      </c>
    </row>
    <row r="329" spans="1:2" x14ac:dyDescent="0.4">
      <c r="A329" s="11">
        <v>45847.662499999999</v>
      </c>
      <c r="B329" t="s">
        <v>281</v>
      </c>
    </row>
    <row r="330" spans="1:2" x14ac:dyDescent="0.4">
      <c r="A330" s="11">
        <v>45847.662499999999</v>
      </c>
      <c r="B330" t="s">
        <v>281</v>
      </c>
    </row>
    <row r="331" spans="1:2" x14ac:dyDescent="0.4">
      <c r="A331" s="11">
        <v>45847.662499999999</v>
      </c>
      <c r="B331" t="s">
        <v>282</v>
      </c>
    </row>
    <row r="332" spans="1:2" x14ac:dyDescent="0.4">
      <c r="A332" s="11">
        <v>45847.662499999999</v>
      </c>
      <c r="B332" t="s">
        <v>282</v>
      </c>
    </row>
    <row r="333" spans="1:2" x14ac:dyDescent="0.4">
      <c r="A333" s="11">
        <v>45847.662499999999</v>
      </c>
      <c r="B333" t="s">
        <v>283</v>
      </c>
    </row>
    <row r="334" spans="1:2" x14ac:dyDescent="0.4">
      <c r="A334" s="11">
        <v>45847.662499999999</v>
      </c>
      <c r="B334" t="s">
        <v>283</v>
      </c>
    </row>
    <row r="335" spans="1:2" x14ac:dyDescent="0.4">
      <c r="A335" s="11">
        <v>45847.662499999999</v>
      </c>
      <c r="B335" t="s">
        <v>283</v>
      </c>
    </row>
    <row r="336" spans="1:2" x14ac:dyDescent="0.4">
      <c r="A336" s="11">
        <v>45847.662499999999</v>
      </c>
      <c r="B336" t="s">
        <v>283</v>
      </c>
    </row>
    <row r="337" spans="1:2" x14ac:dyDescent="0.4">
      <c r="A337" s="11">
        <v>45847.662499999999</v>
      </c>
      <c r="B337" t="s">
        <v>283</v>
      </c>
    </row>
    <row r="338" spans="1:2" x14ac:dyDescent="0.4">
      <c r="A338" s="11">
        <v>45847.662499999999</v>
      </c>
      <c r="B338" t="s">
        <v>284</v>
      </c>
    </row>
    <row r="339" spans="1:2" x14ac:dyDescent="0.4">
      <c r="A339" s="11">
        <v>45847.662499999999</v>
      </c>
      <c r="B339" t="s">
        <v>284</v>
      </c>
    </row>
    <row r="340" spans="1:2" x14ac:dyDescent="0.4">
      <c r="A340" s="11">
        <v>45847.662499999999</v>
      </c>
      <c r="B340" t="s">
        <v>285</v>
      </c>
    </row>
    <row r="341" spans="1:2" x14ac:dyDescent="0.4">
      <c r="A341" s="11">
        <v>45847.662499999999</v>
      </c>
      <c r="B341" t="s">
        <v>285</v>
      </c>
    </row>
    <row r="342" spans="1:2" x14ac:dyDescent="0.4">
      <c r="A342" s="11">
        <v>45847.662499999999</v>
      </c>
      <c r="B342" t="s">
        <v>285</v>
      </c>
    </row>
    <row r="343" spans="1:2" x14ac:dyDescent="0.4">
      <c r="A343" s="11">
        <v>45847.662499999999</v>
      </c>
      <c r="B343" t="s">
        <v>285</v>
      </c>
    </row>
    <row r="344" spans="1:2" x14ac:dyDescent="0.4">
      <c r="A344" s="11">
        <v>45847.662499999999</v>
      </c>
      <c r="B344" t="s">
        <v>285</v>
      </c>
    </row>
    <row r="345" spans="1:2" x14ac:dyDescent="0.4">
      <c r="A345" s="11">
        <v>45847.662499999999</v>
      </c>
      <c r="B345" t="s">
        <v>286</v>
      </c>
    </row>
    <row r="346" spans="1:2" x14ac:dyDescent="0.4">
      <c r="A346" s="11">
        <v>45847.662499999999</v>
      </c>
      <c r="B346" t="s">
        <v>286</v>
      </c>
    </row>
    <row r="347" spans="1:2" x14ac:dyDescent="0.4">
      <c r="A347" s="11">
        <v>45847.662499999999</v>
      </c>
      <c r="B347" t="s">
        <v>287</v>
      </c>
    </row>
    <row r="348" spans="1:2" x14ac:dyDescent="0.4">
      <c r="A348" s="11">
        <v>45847.662499999999</v>
      </c>
      <c r="B348" t="s">
        <v>287</v>
      </c>
    </row>
    <row r="349" spans="1:2" x14ac:dyDescent="0.4">
      <c r="A349" s="11">
        <v>45847.662499999999</v>
      </c>
      <c r="B349" t="s">
        <v>287</v>
      </c>
    </row>
    <row r="350" spans="1:2" x14ac:dyDescent="0.4">
      <c r="A350" s="11">
        <v>45847.662499999999</v>
      </c>
      <c r="B350" t="s">
        <v>287</v>
      </c>
    </row>
    <row r="351" spans="1:2" x14ac:dyDescent="0.4">
      <c r="A351" s="11">
        <v>45847.662499999999</v>
      </c>
      <c r="B351" t="s">
        <v>287</v>
      </c>
    </row>
    <row r="352" spans="1:2" x14ac:dyDescent="0.4">
      <c r="A352" s="11">
        <v>45847.662499999999</v>
      </c>
      <c r="B352" t="s">
        <v>288</v>
      </c>
    </row>
    <row r="353" spans="1:2" x14ac:dyDescent="0.4">
      <c r="A353" s="11">
        <v>45847.662499999999</v>
      </c>
      <c r="B353" t="s">
        <v>278</v>
      </c>
    </row>
    <row r="354" spans="1:2" x14ac:dyDescent="0.4">
      <c r="A354" s="11">
        <v>45847.662499999999</v>
      </c>
      <c r="B354" t="s">
        <v>278</v>
      </c>
    </row>
    <row r="355" spans="1:2" x14ac:dyDescent="0.4">
      <c r="A355" s="11">
        <v>45847.662499999999</v>
      </c>
      <c r="B355" t="s">
        <v>279</v>
      </c>
    </row>
    <row r="356" spans="1:2" x14ac:dyDescent="0.4">
      <c r="A356" s="11">
        <v>45847.662499999999</v>
      </c>
      <c r="B356" t="s">
        <v>279</v>
      </c>
    </row>
    <row r="357" spans="1:2" x14ac:dyDescent="0.4">
      <c r="A357" s="11">
        <v>45847.662499999999</v>
      </c>
      <c r="B357" t="s">
        <v>279</v>
      </c>
    </row>
    <row r="358" spans="1:2" x14ac:dyDescent="0.4">
      <c r="A358" s="11">
        <v>45847.662499999999</v>
      </c>
      <c r="B358" t="s">
        <v>279</v>
      </c>
    </row>
    <row r="359" spans="1:2" x14ac:dyDescent="0.4">
      <c r="A359" s="11">
        <v>45847.662499999999</v>
      </c>
      <c r="B359" t="s">
        <v>279</v>
      </c>
    </row>
    <row r="360" spans="1:2" x14ac:dyDescent="0.4">
      <c r="A360" s="11">
        <v>45847.662499999999</v>
      </c>
      <c r="B360" t="s">
        <v>280</v>
      </c>
    </row>
    <row r="361" spans="1:2" x14ac:dyDescent="0.4">
      <c r="A361" s="11">
        <v>45847.662499999999</v>
      </c>
      <c r="B361" t="s">
        <v>280</v>
      </c>
    </row>
    <row r="362" spans="1:2" x14ac:dyDescent="0.4">
      <c r="A362" s="11">
        <v>45847.662499999999</v>
      </c>
      <c r="B362" t="s">
        <v>281</v>
      </c>
    </row>
    <row r="363" spans="1:2" x14ac:dyDescent="0.4">
      <c r="A363" s="11">
        <v>45847.662499999999</v>
      </c>
      <c r="B363" t="s">
        <v>281</v>
      </c>
    </row>
    <row r="364" spans="1:2" x14ac:dyDescent="0.4">
      <c r="A364" s="11">
        <v>45847.662499999999</v>
      </c>
      <c r="B364" t="s">
        <v>281</v>
      </c>
    </row>
    <row r="365" spans="1:2" x14ac:dyDescent="0.4">
      <c r="A365" s="11">
        <v>45847.662499999999</v>
      </c>
      <c r="B365" t="s">
        <v>281</v>
      </c>
    </row>
    <row r="366" spans="1:2" x14ac:dyDescent="0.4">
      <c r="A366" s="11">
        <v>45847.662499999999</v>
      </c>
      <c r="B366" t="s">
        <v>281</v>
      </c>
    </row>
    <row r="367" spans="1:2" x14ac:dyDescent="0.4">
      <c r="A367" s="11">
        <v>45847.662499999999</v>
      </c>
      <c r="B367" t="s">
        <v>282</v>
      </c>
    </row>
    <row r="368" spans="1:2" x14ac:dyDescent="0.4">
      <c r="A368" s="11">
        <v>45847.662499999999</v>
      </c>
      <c r="B368" t="s">
        <v>282</v>
      </c>
    </row>
    <row r="369" spans="1:2" x14ac:dyDescent="0.4">
      <c r="A369" s="11">
        <v>45847.662499999999</v>
      </c>
      <c r="B369" t="s">
        <v>283</v>
      </c>
    </row>
    <row r="370" spans="1:2" x14ac:dyDescent="0.4">
      <c r="A370" s="11">
        <v>45847.662499999999</v>
      </c>
      <c r="B370" t="s">
        <v>283</v>
      </c>
    </row>
    <row r="371" spans="1:2" x14ac:dyDescent="0.4">
      <c r="A371" s="11">
        <v>45847.662499999999</v>
      </c>
      <c r="B371" t="s">
        <v>283</v>
      </c>
    </row>
    <row r="372" spans="1:2" x14ac:dyDescent="0.4">
      <c r="A372" s="11">
        <v>45847.662499999999</v>
      </c>
      <c r="B372" t="s">
        <v>283</v>
      </c>
    </row>
    <row r="373" spans="1:2" x14ac:dyDescent="0.4">
      <c r="A373" s="11">
        <v>45847.662499999999</v>
      </c>
      <c r="B373" t="s">
        <v>283</v>
      </c>
    </row>
    <row r="374" spans="1:2" x14ac:dyDescent="0.4">
      <c r="A374" s="11">
        <v>45847.662499999999</v>
      </c>
      <c r="B374" t="s">
        <v>284</v>
      </c>
    </row>
    <row r="375" spans="1:2" x14ac:dyDescent="0.4">
      <c r="A375" s="11">
        <v>45847.662499999999</v>
      </c>
      <c r="B375" t="s">
        <v>284</v>
      </c>
    </row>
    <row r="376" spans="1:2" x14ac:dyDescent="0.4">
      <c r="A376" s="11">
        <v>45847.662499999999</v>
      </c>
      <c r="B376" t="s">
        <v>285</v>
      </c>
    </row>
    <row r="377" spans="1:2" x14ac:dyDescent="0.4">
      <c r="A377" s="11">
        <v>45847.662499999999</v>
      </c>
      <c r="B377" t="s">
        <v>285</v>
      </c>
    </row>
    <row r="378" spans="1:2" x14ac:dyDescent="0.4">
      <c r="A378" s="11">
        <v>45847.662499999999</v>
      </c>
      <c r="B378" t="s">
        <v>285</v>
      </c>
    </row>
    <row r="379" spans="1:2" x14ac:dyDescent="0.4">
      <c r="A379" s="11">
        <v>45847.662499999999</v>
      </c>
      <c r="B379" t="s">
        <v>285</v>
      </c>
    </row>
    <row r="380" spans="1:2" x14ac:dyDescent="0.4">
      <c r="A380" s="11">
        <v>45847.662499999999</v>
      </c>
      <c r="B380" t="s">
        <v>285</v>
      </c>
    </row>
    <row r="381" spans="1:2" x14ac:dyDescent="0.4">
      <c r="A381" s="11">
        <v>45847.662499999999</v>
      </c>
      <c r="B381" t="s">
        <v>286</v>
      </c>
    </row>
    <row r="382" spans="1:2" x14ac:dyDescent="0.4">
      <c r="A382" s="11">
        <v>45847.662499999999</v>
      </c>
      <c r="B382" t="s">
        <v>286</v>
      </c>
    </row>
    <row r="383" spans="1:2" x14ac:dyDescent="0.4">
      <c r="A383" s="11">
        <v>45847.662499999999</v>
      </c>
      <c r="B383" t="s">
        <v>287</v>
      </c>
    </row>
    <row r="384" spans="1:2" x14ac:dyDescent="0.4">
      <c r="A384" s="11">
        <v>45847.662499999999</v>
      </c>
      <c r="B384" t="s">
        <v>287</v>
      </c>
    </row>
    <row r="385" spans="1:2" x14ac:dyDescent="0.4">
      <c r="A385" s="11">
        <v>45847.662499999999</v>
      </c>
      <c r="B385" t="s">
        <v>287</v>
      </c>
    </row>
    <row r="386" spans="1:2" x14ac:dyDescent="0.4">
      <c r="A386" s="11">
        <v>45847.662499999999</v>
      </c>
      <c r="B386" t="s">
        <v>287</v>
      </c>
    </row>
    <row r="387" spans="1:2" x14ac:dyDescent="0.4">
      <c r="A387" s="11">
        <v>45847.662499999999</v>
      </c>
      <c r="B387" t="s">
        <v>287</v>
      </c>
    </row>
    <row r="388" spans="1:2" x14ac:dyDescent="0.4">
      <c r="A388" s="11">
        <v>45847.662499999999</v>
      </c>
      <c r="B388" t="s">
        <v>289</v>
      </c>
    </row>
    <row r="389" spans="1:2" x14ac:dyDescent="0.4">
      <c r="A389" s="11">
        <v>45847.662499999999</v>
      </c>
      <c r="B389" t="s">
        <v>251</v>
      </c>
    </row>
    <row r="390" spans="1:2" x14ac:dyDescent="0.4">
      <c r="A390" s="11">
        <v>45847.662499999999</v>
      </c>
      <c r="B390" t="s">
        <v>216</v>
      </c>
    </row>
    <row r="391" spans="1:2" x14ac:dyDescent="0.4">
      <c r="A391" s="11">
        <v>45847.662499999999</v>
      </c>
      <c r="B391" t="s">
        <v>217</v>
      </c>
    </row>
    <row r="392" spans="1:2" x14ac:dyDescent="0.4">
      <c r="A392" s="11">
        <v>45847.662499999999</v>
      </c>
      <c r="B392" t="s">
        <v>218</v>
      </c>
    </row>
    <row r="393" spans="1:2" x14ac:dyDescent="0.4">
      <c r="A393" s="11">
        <v>45847.662499999999</v>
      </c>
      <c r="B393" t="s">
        <v>166</v>
      </c>
    </row>
    <row r="394" spans="1:2" x14ac:dyDescent="0.4">
      <c r="A394" s="11">
        <v>45847.662499999999</v>
      </c>
      <c r="B394" t="s">
        <v>291</v>
      </c>
    </row>
    <row r="395" spans="1:2" x14ac:dyDescent="0.4">
      <c r="A395" s="11">
        <v>45847.662499999999</v>
      </c>
      <c r="B395" t="s">
        <v>291</v>
      </c>
    </row>
    <row r="396" spans="1:2" x14ac:dyDescent="0.4">
      <c r="A396" s="11">
        <v>45847.662499999999</v>
      </c>
      <c r="B396" t="s">
        <v>292</v>
      </c>
    </row>
    <row r="397" spans="1:2" x14ac:dyDescent="0.4">
      <c r="A397" s="11">
        <v>45847.662499999999</v>
      </c>
      <c r="B397" t="s">
        <v>292</v>
      </c>
    </row>
    <row r="398" spans="1:2" x14ac:dyDescent="0.4">
      <c r="A398" s="11">
        <v>45847.662499999999</v>
      </c>
      <c r="B398" t="s">
        <v>292</v>
      </c>
    </row>
    <row r="399" spans="1:2" x14ac:dyDescent="0.4">
      <c r="A399" s="11">
        <v>45847.662499999999</v>
      </c>
      <c r="B399" t="s">
        <v>292</v>
      </c>
    </row>
    <row r="400" spans="1:2" x14ac:dyDescent="0.4">
      <c r="A400" s="11">
        <v>45847.662499999999</v>
      </c>
      <c r="B400" t="s">
        <v>292</v>
      </c>
    </row>
    <row r="401" spans="1:2" x14ac:dyDescent="0.4">
      <c r="A401" s="11">
        <v>45847.662499999999</v>
      </c>
      <c r="B401" t="s">
        <v>293</v>
      </c>
    </row>
    <row r="402" spans="1:2" x14ac:dyDescent="0.4">
      <c r="A402" s="11">
        <v>45847.662499999999</v>
      </c>
      <c r="B402" t="s">
        <v>293</v>
      </c>
    </row>
    <row r="403" spans="1:2" x14ac:dyDescent="0.4">
      <c r="A403" s="11">
        <v>45847.662499999999</v>
      </c>
      <c r="B403" t="s">
        <v>294</v>
      </c>
    </row>
    <row r="404" spans="1:2" x14ac:dyDescent="0.4">
      <c r="A404" s="11">
        <v>45847.662499999999</v>
      </c>
      <c r="B404" t="s">
        <v>294</v>
      </c>
    </row>
    <row r="405" spans="1:2" x14ac:dyDescent="0.4">
      <c r="A405" s="11">
        <v>45847.662499999999</v>
      </c>
      <c r="B405" t="s">
        <v>294</v>
      </c>
    </row>
    <row r="406" spans="1:2" x14ac:dyDescent="0.4">
      <c r="A406" s="11">
        <v>45847.662499999999</v>
      </c>
      <c r="B406" t="s">
        <v>294</v>
      </c>
    </row>
    <row r="407" spans="1:2" x14ac:dyDescent="0.4">
      <c r="A407" s="11">
        <v>45847.662499999999</v>
      </c>
      <c r="B407" t="s">
        <v>294</v>
      </c>
    </row>
    <row r="408" spans="1:2" x14ac:dyDescent="0.4">
      <c r="A408" s="11">
        <v>45847.662499999999</v>
      </c>
      <c r="B408" t="s">
        <v>295</v>
      </c>
    </row>
    <row r="409" spans="1:2" x14ac:dyDescent="0.4">
      <c r="A409" s="11">
        <v>45847.662499999999</v>
      </c>
      <c r="B409" t="s">
        <v>295</v>
      </c>
    </row>
    <row r="410" spans="1:2" x14ac:dyDescent="0.4">
      <c r="A410" s="11">
        <v>45847.662499999999</v>
      </c>
      <c r="B410" t="s">
        <v>296</v>
      </c>
    </row>
    <row r="411" spans="1:2" x14ac:dyDescent="0.4">
      <c r="A411" s="11">
        <v>45847.662499999999</v>
      </c>
      <c r="B411" t="s">
        <v>296</v>
      </c>
    </row>
    <row r="412" spans="1:2" x14ac:dyDescent="0.4">
      <c r="A412" s="11">
        <v>45847.662499999999</v>
      </c>
      <c r="B412" t="s">
        <v>296</v>
      </c>
    </row>
    <row r="413" spans="1:2" x14ac:dyDescent="0.4">
      <c r="A413" s="11">
        <v>45847.662499999999</v>
      </c>
      <c r="B413" t="s">
        <v>296</v>
      </c>
    </row>
    <row r="414" spans="1:2" x14ac:dyDescent="0.4">
      <c r="A414" s="11">
        <v>45847.662499999999</v>
      </c>
      <c r="B414" t="s">
        <v>296</v>
      </c>
    </row>
    <row r="415" spans="1:2" x14ac:dyDescent="0.4">
      <c r="A415" s="11">
        <v>45847.662499999999</v>
      </c>
      <c r="B415" t="s">
        <v>297</v>
      </c>
    </row>
    <row r="416" spans="1:2" x14ac:dyDescent="0.4">
      <c r="A416" s="11">
        <v>45847.662499999999</v>
      </c>
      <c r="B416" t="s">
        <v>297</v>
      </c>
    </row>
    <row r="417" spans="1:2" x14ac:dyDescent="0.4">
      <c r="A417" s="11">
        <v>45847.662499999999</v>
      </c>
      <c r="B417" t="s">
        <v>298</v>
      </c>
    </row>
    <row r="418" spans="1:2" x14ac:dyDescent="0.4">
      <c r="A418" s="11">
        <v>45847.662499999999</v>
      </c>
      <c r="B418" t="s">
        <v>298</v>
      </c>
    </row>
    <row r="419" spans="1:2" x14ac:dyDescent="0.4">
      <c r="A419" s="11">
        <v>45847.662499999999</v>
      </c>
      <c r="B419" t="s">
        <v>298</v>
      </c>
    </row>
    <row r="420" spans="1:2" x14ac:dyDescent="0.4">
      <c r="A420" s="11">
        <v>45847.662499999999</v>
      </c>
      <c r="B420" t="s">
        <v>298</v>
      </c>
    </row>
    <row r="421" spans="1:2" x14ac:dyDescent="0.4">
      <c r="A421" s="11">
        <v>45847.662499999999</v>
      </c>
      <c r="B421" t="s">
        <v>298</v>
      </c>
    </row>
    <row r="422" spans="1:2" x14ac:dyDescent="0.4">
      <c r="A422" s="11">
        <v>45847.662499999999</v>
      </c>
      <c r="B422" t="s">
        <v>299</v>
      </c>
    </row>
    <row r="423" spans="1:2" x14ac:dyDescent="0.4">
      <c r="A423" s="11">
        <v>45847.662499999999</v>
      </c>
      <c r="B423" t="s">
        <v>299</v>
      </c>
    </row>
    <row r="424" spans="1:2" x14ac:dyDescent="0.4">
      <c r="A424" s="11">
        <v>45847.662499999999</v>
      </c>
      <c r="B424" t="s">
        <v>300</v>
      </c>
    </row>
    <row r="425" spans="1:2" x14ac:dyDescent="0.4">
      <c r="A425" s="11">
        <v>45847.662499999999</v>
      </c>
      <c r="B425" t="s">
        <v>300</v>
      </c>
    </row>
    <row r="426" spans="1:2" x14ac:dyDescent="0.4">
      <c r="A426" s="11">
        <v>45847.662499999999</v>
      </c>
      <c r="B426" t="s">
        <v>300</v>
      </c>
    </row>
    <row r="427" spans="1:2" x14ac:dyDescent="0.4">
      <c r="A427" s="11">
        <v>45847.662499999999</v>
      </c>
      <c r="B427" t="s">
        <v>300</v>
      </c>
    </row>
    <row r="428" spans="1:2" x14ac:dyDescent="0.4">
      <c r="A428" s="11">
        <v>45847.662499999999</v>
      </c>
      <c r="B428" t="s">
        <v>300</v>
      </c>
    </row>
    <row r="429" spans="1:2" x14ac:dyDescent="0.4">
      <c r="A429" s="11">
        <v>45847.662499999999</v>
      </c>
      <c r="B429" t="s">
        <v>301</v>
      </c>
    </row>
    <row r="430" spans="1:2" x14ac:dyDescent="0.4">
      <c r="A430" s="11">
        <v>45847.662499999999</v>
      </c>
      <c r="B430" t="s">
        <v>291</v>
      </c>
    </row>
    <row r="431" spans="1:2" x14ac:dyDescent="0.4">
      <c r="A431" s="11">
        <v>45847.662499999999</v>
      </c>
      <c r="B431" t="s">
        <v>291</v>
      </c>
    </row>
    <row r="432" spans="1:2" x14ac:dyDescent="0.4">
      <c r="A432" s="11">
        <v>45847.662499999999</v>
      </c>
      <c r="B432" t="s">
        <v>292</v>
      </c>
    </row>
    <row r="433" spans="1:2" x14ac:dyDescent="0.4">
      <c r="A433" s="11">
        <v>45847.662499999999</v>
      </c>
      <c r="B433" t="s">
        <v>292</v>
      </c>
    </row>
    <row r="434" spans="1:2" x14ac:dyDescent="0.4">
      <c r="A434" s="11">
        <v>45847.662499999999</v>
      </c>
      <c r="B434" t="s">
        <v>292</v>
      </c>
    </row>
    <row r="435" spans="1:2" x14ac:dyDescent="0.4">
      <c r="A435" s="11">
        <v>45847.662499999999</v>
      </c>
      <c r="B435" t="s">
        <v>292</v>
      </c>
    </row>
    <row r="436" spans="1:2" x14ac:dyDescent="0.4">
      <c r="A436" s="11">
        <v>45847.662499999999</v>
      </c>
      <c r="B436" t="s">
        <v>292</v>
      </c>
    </row>
    <row r="437" spans="1:2" x14ac:dyDescent="0.4">
      <c r="A437" s="11">
        <v>45847.662499999999</v>
      </c>
      <c r="B437" t="s">
        <v>293</v>
      </c>
    </row>
    <row r="438" spans="1:2" x14ac:dyDescent="0.4">
      <c r="A438" s="11">
        <v>45847.662499999999</v>
      </c>
      <c r="B438" t="s">
        <v>293</v>
      </c>
    </row>
    <row r="439" spans="1:2" x14ac:dyDescent="0.4">
      <c r="A439" s="11">
        <v>45847.662499999999</v>
      </c>
      <c r="B439" t="s">
        <v>294</v>
      </c>
    </row>
    <row r="440" spans="1:2" x14ac:dyDescent="0.4">
      <c r="A440" s="11">
        <v>45847.662499999999</v>
      </c>
      <c r="B440" t="s">
        <v>294</v>
      </c>
    </row>
    <row r="441" spans="1:2" x14ac:dyDescent="0.4">
      <c r="A441" s="11">
        <v>45847.662499999999</v>
      </c>
      <c r="B441" t="s">
        <v>294</v>
      </c>
    </row>
    <row r="442" spans="1:2" x14ac:dyDescent="0.4">
      <c r="A442" s="11">
        <v>45847.662499999999</v>
      </c>
      <c r="B442" t="s">
        <v>294</v>
      </c>
    </row>
    <row r="443" spans="1:2" x14ac:dyDescent="0.4">
      <c r="A443" s="11">
        <v>45847.662499999999</v>
      </c>
      <c r="B443" t="s">
        <v>294</v>
      </c>
    </row>
    <row r="444" spans="1:2" x14ac:dyDescent="0.4">
      <c r="A444" s="11">
        <v>45847.662499999999</v>
      </c>
      <c r="B444" t="s">
        <v>295</v>
      </c>
    </row>
    <row r="445" spans="1:2" x14ac:dyDescent="0.4">
      <c r="A445" s="11">
        <v>45847.662499999999</v>
      </c>
      <c r="B445" t="s">
        <v>295</v>
      </c>
    </row>
    <row r="446" spans="1:2" x14ac:dyDescent="0.4">
      <c r="A446" s="11">
        <v>45847.662499999999</v>
      </c>
      <c r="B446" t="s">
        <v>296</v>
      </c>
    </row>
    <row r="447" spans="1:2" x14ac:dyDescent="0.4">
      <c r="A447" s="11">
        <v>45847.662499999999</v>
      </c>
      <c r="B447" t="s">
        <v>296</v>
      </c>
    </row>
    <row r="448" spans="1:2" x14ac:dyDescent="0.4">
      <c r="A448" s="11">
        <v>45847.662499999999</v>
      </c>
      <c r="B448" t="s">
        <v>296</v>
      </c>
    </row>
    <row r="449" spans="1:2" x14ac:dyDescent="0.4">
      <c r="A449" s="11">
        <v>45847.662499999999</v>
      </c>
      <c r="B449" t="s">
        <v>296</v>
      </c>
    </row>
    <row r="450" spans="1:2" x14ac:dyDescent="0.4">
      <c r="A450" s="11">
        <v>45847.662499999999</v>
      </c>
      <c r="B450" t="s">
        <v>296</v>
      </c>
    </row>
    <row r="451" spans="1:2" x14ac:dyDescent="0.4">
      <c r="A451" s="11">
        <v>45847.662499999999</v>
      </c>
      <c r="B451" t="s">
        <v>297</v>
      </c>
    </row>
    <row r="452" spans="1:2" x14ac:dyDescent="0.4">
      <c r="A452" s="11">
        <v>45847.662499999999</v>
      </c>
      <c r="B452" t="s">
        <v>297</v>
      </c>
    </row>
    <row r="453" spans="1:2" x14ac:dyDescent="0.4">
      <c r="A453" s="11">
        <v>45847.662499999999</v>
      </c>
      <c r="B453" t="s">
        <v>298</v>
      </c>
    </row>
    <row r="454" spans="1:2" x14ac:dyDescent="0.4">
      <c r="A454" s="11">
        <v>45847.662499999999</v>
      </c>
      <c r="B454" t="s">
        <v>298</v>
      </c>
    </row>
    <row r="455" spans="1:2" x14ac:dyDescent="0.4">
      <c r="A455" s="11">
        <v>45847.662499999999</v>
      </c>
      <c r="B455" t="s">
        <v>298</v>
      </c>
    </row>
    <row r="456" spans="1:2" x14ac:dyDescent="0.4">
      <c r="A456" s="11">
        <v>45847.662499999999</v>
      </c>
      <c r="B456" t="s">
        <v>298</v>
      </c>
    </row>
    <row r="457" spans="1:2" x14ac:dyDescent="0.4">
      <c r="A457" s="11">
        <v>45847.662499999999</v>
      </c>
      <c r="B457" t="s">
        <v>298</v>
      </c>
    </row>
    <row r="458" spans="1:2" x14ac:dyDescent="0.4">
      <c r="A458" s="11">
        <v>45847.662499999999</v>
      </c>
      <c r="B458" t="s">
        <v>299</v>
      </c>
    </row>
    <row r="459" spans="1:2" x14ac:dyDescent="0.4">
      <c r="A459" s="11">
        <v>45847.662499999999</v>
      </c>
      <c r="B459" t="s">
        <v>299</v>
      </c>
    </row>
    <row r="460" spans="1:2" x14ac:dyDescent="0.4">
      <c r="A460" s="11">
        <v>45847.662499999999</v>
      </c>
      <c r="B460" t="s">
        <v>300</v>
      </c>
    </row>
    <row r="461" spans="1:2" x14ac:dyDescent="0.4">
      <c r="A461" s="11">
        <v>45847.662499999999</v>
      </c>
      <c r="B461" t="s">
        <v>300</v>
      </c>
    </row>
    <row r="462" spans="1:2" x14ac:dyDescent="0.4">
      <c r="A462" s="11">
        <v>45847.662499999999</v>
      </c>
      <c r="B462" t="s">
        <v>300</v>
      </c>
    </row>
    <row r="463" spans="1:2" x14ac:dyDescent="0.4">
      <c r="A463" s="11">
        <v>45847.662499999999</v>
      </c>
      <c r="B463" t="s">
        <v>300</v>
      </c>
    </row>
    <row r="464" spans="1:2" x14ac:dyDescent="0.4">
      <c r="A464" s="11">
        <v>45847.662499999999</v>
      </c>
      <c r="B464" t="s">
        <v>300</v>
      </c>
    </row>
    <row r="465" spans="1:2" x14ac:dyDescent="0.4">
      <c r="A465" s="11">
        <v>45847.662499999999</v>
      </c>
      <c r="B465" t="s">
        <v>302</v>
      </c>
    </row>
    <row r="466" spans="1:2" x14ac:dyDescent="0.4">
      <c r="A466" s="11">
        <v>45847.662499999999</v>
      </c>
      <c r="B466" t="s">
        <v>251</v>
      </c>
    </row>
    <row r="467" spans="1:2" x14ac:dyDescent="0.4">
      <c r="A467" s="11">
        <v>45847.662499999999</v>
      </c>
      <c r="B467" t="s">
        <v>219</v>
      </c>
    </row>
    <row r="468" spans="1:2" x14ac:dyDescent="0.4">
      <c r="A468" s="11">
        <v>45847.662499999999</v>
      </c>
      <c r="B468" t="s">
        <v>220</v>
      </c>
    </row>
    <row r="469" spans="1:2" x14ac:dyDescent="0.4">
      <c r="A469" s="11">
        <v>45847.662499999999</v>
      </c>
      <c r="B469" t="s">
        <v>221</v>
      </c>
    </row>
    <row r="470" spans="1:2" x14ac:dyDescent="0.4">
      <c r="A470" s="11">
        <v>45847.662499999999</v>
      </c>
      <c r="B470" t="s">
        <v>166</v>
      </c>
    </row>
    <row r="471" spans="1:2" x14ac:dyDescent="0.4">
      <c r="A471" s="11">
        <v>45847.662499999999</v>
      </c>
      <c r="B471" t="s">
        <v>304</v>
      </c>
    </row>
    <row r="472" spans="1:2" x14ac:dyDescent="0.4">
      <c r="A472" s="11">
        <v>45847.662499999999</v>
      </c>
      <c r="B472" t="s">
        <v>304</v>
      </c>
    </row>
    <row r="473" spans="1:2" x14ac:dyDescent="0.4">
      <c r="A473" s="11">
        <v>45847.662499999999</v>
      </c>
      <c r="B473" t="s">
        <v>305</v>
      </c>
    </row>
    <row r="474" spans="1:2" x14ac:dyDescent="0.4">
      <c r="A474" s="11">
        <v>45847.662499999999</v>
      </c>
      <c r="B474" t="s">
        <v>305</v>
      </c>
    </row>
    <row r="475" spans="1:2" x14ac:dyDescent="0.4">
      <c r="A475" s="11">
        <v>45847.662499999999</v>
      </c>
      <c r="B475" t="s">
        <v>305</v>
      </c>
    </row>
    <row r="476" spans="1:2" x14ac:dyDescent="0.4">
      <c r="A476" s="11">
        <v>45847.662499999999</v>
      </c>
      <c r="B476" t="s">
        <v>305</v>
      </c>
    </row>
    <row r="477" spans="1:2" x14ac:dyDescent="0.4">
      <c r="A477" s="11">
        <v>45847.662499999999</v>
      </c>
      <c r="B477" t="s">
        <v>305</v>
      </c>
    </row>
    <row r="478" spans="1:2" x14ac:dyDescent="0.4">
      <c r="A478" s="11">
        <v>45847.662499999999</v>
      </c>
      <c r="B478" t="s">
        <v>306</v>
      </c>
    </row>
    <row r="479" spans="1:2" x14ac:dyDescent="0.4">
      <c r="A479" s="11">
        <v>45847.662499999999</v>
      </c>
      <c r="B479" t="s">
        <v>306</v>
      </c>
    </row>
    <row r="480" spans="1:2" x14ac:dyDescent="0.4">
      <c r="A480" s="11">
        <v>45847.662499999999</v>
      </c>
      <c r="B480" t="s">
        <v>307</v>
      </c>
    </row>
    <row r="481" spans="1:2" x14ac:dyDescent="0.4">
      <c r="A481" s="11">
        <v>45847.662499999999</v>
      </c>
      <c r="B481" t="s">
        <v>307</v>
      </c>
    </row>
    <row r="482" spans="1:2" x14ac:dyDescent="0.4">
      <c r="A482" s="11">
        <v>45847.662499999999</v>
      </c>
      <c r="B482" t="s">
        <v>307</v>
      </c>
    </row>
    <row r="483" spans="1:2" x14ac:dyDescent="0.4">
      <c r="A483" s="11">
        <v>45847.662499999999</v>
      </c>
      <c r="B483" t="s">
        <v>307</v>
      </c>
    </row>
    <row r="484" spans="1:2" x14ac:dyDescent="0.4">
      <c r="A484" s="11">
        <v>45847.662499999999</v>
      </c>
      <c r="B484" t="s">
        <v>307</v>
      </c>
    </row>
    <row r="485" spans="1:2" x14ac:dyDescent="0.4">
      <c r="A485" s="11">
        <v>45847.662499999999</v>
      </c>
      <c r="B485" t="s">
        <v>308</v>
      </c>
    </row>
    <row r="486" spans="1:2" x14ac:dyDescent="0.4">
      <c r="A486" s="11">
        <v>45847.662499999999</v>
      </c>
      <c r="B486" t="s">
        <v>308</v>
      </c>
    </row>
    <row r="487" spans="1:2" x14ac:dyDescent="0.4">
      <c r="A487" s="11">
        <v>45847.662499999999</v>
      </c>
      <c r="B487" t="s">
        <v>309</v>
      </c>
    </row>
    <row r="488" spans="1:2" x14ac:dyDescent="0.4">
      <c r="A488" s="11">
        <v>45847.662499999999</v>
      </c>
      <c r="B488" t="s">
        <v>309</v>
      </c>
    </row>
    <row r="489" spans="1:2" x14ac:dyDescent="0.4">
      <c r="A489" s="11">
        <v>45847.662499999999</v>
      </c>
      <c r="B489" t="s">
        <v>309</v>
      </c>
    </row>
    <row r="490" spans="1:2" x14ac:dyDescent="0.4">
      <c r="A490" s="11">
        <v>45847.662499999999</v>
      </c>
      <c r="B490" t="s">
        <v>309</v>
      </c>
    </row>
    <row r="491" spans="1:2" x14ac:dyDescent="0.4">
      <c r="A491" s="11">
        <v>45847.662499999999</v>
      </c>
      <c r="B491" t="s">
        <v>309</v>
      </c>
    </row>
    <row r="492" spans="1:2" x14ac:dyDescent="0.4">
      <c r="A492" s="11">
        <v>45847.662499999999</v>
      </c>
      <c r="B492" t="s">
        <v>310</v>
      </c>
    </row>
    <row r="493" spans="1:2" x14ac:dyDescent="0.4">
      <c r="A493" s="11">
        <v>45847.662499999999</v>
      </c>
      <c r="B493" t="s">
        <v>310</v>
      </c>
    </row>
    <row r="494" spans="1:2" x14ac:dyDescent="0.4">
      <c r="A494" s="11">
        <v>45847.662499999999</v>
      </c>
      <c r="B494" t="s">
        <v>311</v>
      </c>
    </row>
    <row r="495" spans="1:2" x14ac:dyDescent="0.4">
      <c r="A495" s="11">
        <v>45847.662499999999</v>
      </c>
      <c r="B495" t="s">
        <v>311</v>
      </c>
    </row>
    <row r="496" spans="1:2" x14ac:dyDescent="0.4">
      <c r="A496" s="11">
        <v>45847.662499999999</v>
      </c>
      <c r="B496" t="s">
        <v>311</v>
      </c>
    </row>
    <row r="497" spans="1:2" x14ac:dyDescent="0.4">
      <c r="A497" s="11">
        <v>45847.662499999999</v>
      </c>
      <c r="B497" t="s">
        <v>311</v>
      </c>
    </row>
    <row r="498" spans="1:2" x14ac:dyDescent="0.4">
      <c r="A498" s="11">
        <v>45847.662499999999</v>
      </c>
      <c r="B498" t="s">
        <v>311</v>
      </c>
    </row>
    <row r="499" spans="1:2" x14ac:dyDescent="0.4">
      <c r="A499" s="11">
        <v>45847.662499999999</v>
      </c>
      <c r="B499" t="s">
        <v>312</v>
      </c>
    </row>
    <row r="500" spans="1:2" x14ac:dyDescent="0.4">
      <c r="A500" s="11">
        <v>45847.662499999999</v>
      </c>
      <c r="B500" t="s">
        <v>312</v>
      </c>
    </row>
    <row r="501" spans="1:2" x14ac:dyDescent="0.4">
      <c r="A501" s="11">
        <v>45847.662499999999</v>
      </c>
      <c r="B501" t="s">
        <v>313</v>
      </c>
    </row>
    <row r="502" spans="1:2" x14ac:dyDescent="0.4">
      <c r="A502" s="11">
        <v>45847.662499999999</v>
      </c>
      <c r="B502" t="s">
        <v>313</v>
      </c>
    </row>
    <row r="503" spans="1:2" x14ac:dyDescent="0.4">
      <c r="A503" s="11">
        <v>45847.662499999999</v>
      </c>
      <c r="B503" t="s">
        <v>313</v>
      </c>
    </row>
    <row r="504" spans="1:2" x14ac:dyDescent="0.4">
      <c r="A504" s="11">
        <v>45847.662499999999</v>
      </c>
      <c r="B504" t="s">
        <v>313</v>
      </c>
    </row>
    <row r="505" spans="1:2" x14ac:dyDescent="0.4">
      <c r="A505" s="11">
        <v>45847.662499999999</v>
      </c>
      <c r="B505" t="s">
        <v>313</v>
      </c>
    </row>
    <row r="506" spans="1:2" x14ac:dyDescent="0.4">
      <c r="A506" s="11">
        <v>45847.662499999999</v>
      </c>
      <c r="B506" t="s">
        <v>314</v>
      </c>
    </row>
    <row r="507" spans="1:2" x14ac:dyDescent="0.4">
      <c r="A507" s="11">
        <v>45847.662499999999</v>
      </c>
      <c r="B507" t="s">
        <v>304</v>
      </c>
    </row>
    <row r="508" spans="1:2" x14ac:dyDescent="0.4">
      <c r="A508" s="11">
        <v>45847.662499999999</v>
      </c>
      <c r="B508" t="s">
        <v>304</v>
      </c>
    </row>
    <row r="509" spans="1:2" x14ac:dyDescent="0.4">
      <c r="A509" s="11">
        <v>45847.662499999999</v>
      </c>
      <c r="B509" t="s">
        <v>305</v>
      </c>
    </row>
    <row r="510" spans="1:2" x14ac:dyDescent="0.4">
      <c r="A510" s="11">
        <v>45847.662499999999</v>
      </c>
      <c r="B510" t="s">
        <v>305</v>
      </c>
    </row>
    <row r="511" spans="1:2" x14ac:dyDescent="0.4">
      <c r="A511" s="11">
        <v>45847.662499999999</v>
      </c>
      <c r="B511" t="s">
        <v>305</v>
      </c>
    </row>
    <row r="512" spans="1:2" x14ac:dyDescent="0.4">
      <c r="A512" s="11">
        <v>45847.662499999999</v>
      </c>
      <c r="B512" t="s">
        <v>305</v>
      </c>
    </row>
    <row r="513" spans="1:2" x14ac:dyDescent="0.4">
      <c r="A513" s="11">
        <v>45847.662499999999</v>
      </c>
      <c r="B513" t="s">
        <v>305</v>
      </c>
    </row>
    <row r="514" spans="1:2" x14ac:dyDescent="0.4">
      <c r="A514" s="11">
        <v>45847.662499999999</v>
      </c>
      <c r="B514" t="s">
        <v>306</v>
      </c>
    </row>
    <row r="515" spans="1:2" x14ac:dyDescent="0.4">
      <c r="A515" s="11">
        <v>45847.662499999999</v>
      </c>
      <c r="B515" t="s">
        <v>306</v>
      </c>
    </row>
    <row r="516" spans="1:2" x14ac:dyDescent="0.4">
      <c r="A516" s="11">
        <v>45847.662499999999</v>
      </c>
      <c r="B516" t="s">
        <v>307</v>
      </c>
    </row>
    <row r="517" spans="1:2" x14ac:dyDescent="0.4">
      <c r="A517" s="11">
        <v>45847.662499999999</v>
      </c>
      <c r="B517" t="s">
        <v>307</v>
      </c>
    </row>
    <row r="518" spans="1:2" x14ac:dyDescent="0.4">
      <c r="A518" s="11">
        <v>45847.662499999999</v>
      </c>
      <c r="B518" t="s">
        <v>307</v>
      </c>
    </row>
    <row r="519" spans="1:2" x14ac:dyDescent="0.4">
      <c r="A519" s="11">
        <v>45847.662499999999</v>
      </c>
      <c r="B519" t="s">
        <v>307</v>
      </c>
    </row>
    <row r="520" spans="1:2" x14ac:dyDescent="0.4">
      <c r="A520" s="11">
        <v>45847.662499999999</v>
      </c>
      <c r="B520" t="s">
        <v>307</v>
      </c>
    </row>
    <row r="521" spans="1:2" x14ac:dyDescent="0.4">
      <c r="A521" s="11">
        <v>45847.662499999999</v>
      </c>
      <c r="B521" t="s">
        <v>308</v>
      </c>
    </row>
    <row r="522" spans="1:2" x14ac:dyDescent="0.4">
      <c r="A522" s="11">
        <v>45847.662499999999</v>
      </c>
      <c r="B522" t="s">
        <v>308</v>
      </c>
    </row>
    <row r="523" spans="1:2" x14ac:dyDescent="0.4">
      <c r="A523" s="11">
        <v>45847.662499999999</v>
      </c>
      <c r="B523" t="s">
        <v>309</v>
      </c>
    </row>
    <row r="524" spans="1:2" x14ac:dyDescent="0.4">
      <c r="A524" s="11">
        <v>45847.662499999999</v>
      </c>
      <c r="B524" t="s">
        <v>309</v>
      </c>
    </row>
    <row r="525" spans="1:2" x14ac:dyDescent="0.4">
      <c r="A525" s="11">
        <v>45847.662499999999</v>
      </c>
      <c r="B525" t="s">
        <v>309</v>
      </c>
    </row>
    <row r="526" spans="1:2" x14ac:dyDescent="0.4">
      <c r="A526" s="11">
        <v>45847.662499999999</v>
      </c>
      <c r="B526" t="s">
        <v>309</v>
      </c>
    </row>
    <row r="527" spans="1:2" x14ac:dyDescent="0.4">
      <c r="A527" s="11">
        <v>45847.662499999999</v>
      </c>
      <c r="B527" t="s">
        <v>309</v>
      </c>
    </row>
    <row r="528" spans="1:2" x14ac:dyDescent="0.4">
      <c r="A528" s="11">
        <v>45847.662499999999</v>
      </c>
      <c r="B528" t="s">
        <v>310</v>
      </c>
    </row>
    <row r="529" spans="1:2" x14ac:dyDescent="0.4">
      <c r="A529" s="11">
        <v>45847.662499999999</v>
      </c>
      <c r="B529" t="s">
        <v>310</v>
      </c>
    </row>
    <row r="530" spans="1:2" x14ac:dyDescent="0.4">
      <c r="A530" s="11">
        <v>45847.662499999999</v>
      </c>
      <c r="B530" t="s">
        <v>311</v>
      </c>
    </row>
    <row r="531" spans="1:2" x14ac:dyDescent="0.4">
      <c r="A531" s="11">
        <v>45847.662499999999</v>
      </c>
      <c r="B531" t="s">
        <v>311</v>
      </c>
    </row>
    <row r="532" spans="1:2" x14ac:dyDescent="0.4">
      <c r="A532" s="11">
        <v>45847.662499999999</v>
      </c>
      <c r="B532" t="s">
        <v>311</v>
      </c>
    </row>
    <row r="533" spans="1:2" x14ac:dyDescent="0.4">
      <c r="A533" s="11">
        <v>45847.662499999999</v>
      </c>
      <c r="B533" t="s">
        <v>311</v>
      </c>
    </row>
    <row r="534" spans="1:2" x14ac:dyDescent="0.4">
      <c r="A534" s="11">
        <v>45847.662499999999</v>
      </c>
      <c r="B534" t="s">
        <v>311</v>
      </c>
    </row>
    <row r="535" spans="1:2" x14ac:dyDescent="0.4">
      <c r="A535" s="11">
        <v>45847.662499999999</v>
      </c>
      <c r="B535" t="s">
        <v>312</v>
      </c>
    </row>
    <row r="536" spans="1:2" x14ac:dyDescent="0.4">
      <c r="A536" s="11">
        <v>45847.662499999999</v>
      </c>
      <c r="B536" t="s">
        <v>312</v>
      </c>
    </row>
    <row r="537" spans="1:2" x14ac:dyDescent="0.4">
      <c r="A537" s="11">
        <v>45847.662499999999</v>
      </c>
      <c r="B537" t="s">
        <v>313</v>
      </c>
    </row>
    <row r="538" spans="1:2" x14ac:dyDescent="0.4">
      <c r="A538" s="11">
        <v>45847.662499999999</v>
      </c>
      <c r="B538" t="s">
        <v>313</v>
      </c>
    </row>
    <row r="539" spans="1:2" x14ac:dyDescent="0.4">
      <c r="A539" s="11">
        <v>45847.662499999999</v>
      </c>
      <c r="B539" t="s">
        <v>313</v>
      </c>
    </row>
    <row r="540" spans="1:2" x14ac:dyDescent="0.4">
      <c r="A540" s="11">
        <v>45847.662499999999</v>
      </c>
      <c r="B540" t="s">
        <v>313</v>
      </c>
    </row>
    <row r="541" spans="1:2" x14ac:dyDescent="0.4">
      <c r="A541" s="11">
        <v>45847.662499999999</v>
      </c>
      <c r="B541" t="s">
        <v>313</v>
      </c>
    </row>
    <row r="542" spans="1:2" x14ac:dyDescent="0.4">
      <c r="A542" s="11">
        <v>45847.662499999999</v>
      </c>
      <c r="B542" t="s">
        <v>315</v>
      </c>
    </row>
    <row r="543" spans="1:2" x14ac:dyDescent="0.4">
      <c r="A543" s="11">
        <v>45847.662499999999</v>
      </c>
      <c r="B543" t="s">
        <v>251</v>
      </c>
    </row>
    <row r="544" spans="1:2" x14ac:dyDescent="0.4">
      <c r="A544" s="11">
        <v>45847.662499999999</v>
      </c>
      <c r="B544" t="s">
        <v>222</v>
      </c>
    </row>
    <row r="545" spans="1:2" x14ac:dyDescent="0.4">
      <c r="A545" s="11">
        <v>45847.662499999999</v>
      </c>
      <c r="B545" t="s">
        <v>223</v>
      </c>
    </row>
    <row r="546" spans="1:2" x14ac:dyDescent="0.4">
      <c r="A546" s="11">
        <v>45847.662499999999</v>
      </c>
      <c r="B546" t="s">
        <v>224</v>
      </c>
    </row>
    <row r="547" spans="1:2" x14ac:dyDescent="0.4">
      <c r="A547" s="11">
        <v>45847.662499999999</v>
      </c>
      <c r="B547" t="s">
        <v>166</v>
      </c>
    </row>
    <row r="548" spans="1:2" x14ac:dyDescent="0.4">
      <c r="A548" s="11">
        <v>45847.662499999999</v>
      </c>
      <c r="B548" t="s">
        <v>317</v>
      </c>
    </row>
    <row r="549" spans="1:2" x14ac:dyDescent="0.4">
      <c r="A549" s="11">
        <v>45847.662499999999</v>
      </c>
      <c r="B549" t="s">
        <v>317</v>
      </c>
    </row>
    <row r="550" spans="1:2" x14ac:dyDescent="0.4">
      <c r="A550" s="11">
        <v>45847.662499999999</v>
      </c>
      <c r="B550" t="s">
        <v>318</v>
      </c>
    </row>
    <row r="551" spans="1:2" x14ac:dyDescent="0.4">
      <c r="A551" s="11">
        <v>45847.662499999999</v>
      </c>
      <c r="B551" t="s">
        <v>318</v>
      </c>
    </row>
    <row r="552" spans="1:2" x14ac:dyDescent="0.4">
      <c r="A552" s="11">
        <v>45847.662499999999</v>
      </c>
      <c r="B552" t="s">
        <v>318</v>
      </c>
    </row>
    <row r="553" spans="1:2" x14ac:dyDescent="0.4">
      <c r="A553" s="11">
        <v>45847.662499999999</v>
      </c>
      <c r="B553" t="s">
        <v>318</v>
      </c>
    </row>
    <row r="554" spans="1:2" x14ac:dyDescent="0.4">
      <c r="A554" s="11">
        <v>45847.662499999999</v>
      </c>
      <c r="B554" t="s">
        <v>318</v>
      </c>
    </row>
    <row r="555" spans="1:2" x14ac:dyDescent="0.4">
      <c r="A555" s="11">
        <v>45847.662499999999</v>
      </c>
      <c r="B555" t="s">
        <v>319</v>
      </c>
    </row>
    <row r="556" spans="1:2" x14ac:dyDescent="0.4">
      <c r="A556" s="11">
        <v>45847.662499999999</v>
      </c>
      <c r="B556" t="s">
        <v>319</v>
      </c>
    </row>
    <row r="557" spans="1:2" x14ac:dyDescent="0.4">
      <c r="A557" s="11">
        <v>45847.662499999999</v>
      </c>
      <c r="B557" t="s">
        <v>320</v>
      </c>
    </row>
    <row r="558" spans="1:2" x14ac:dyDescent="0.4">
      <c r="A558" s="11">
        <v>45847.662499999999</v>
      </c>
      <c r="B558" t="s">
        <v>320</v>
      </c>
    </row>
    <row r="559" spans="1:2" x14ac:dyDescent="0.4">
      <c r="A559" s="11">
        <v>45847.662499999999</v>
      </c>
      <c r="B559" t="s">
        <v>320</v>
      </c>
    </row>
    <row r="560" spans="1:2" x14ac:dyDescent="0.4">
      <c r="A560" s="11">
        <v>45847.662499999999</v>
      </c>
      <c r="B560" t="s">
        <v>320</v>
      </c>
    </row>
    <row r="561" spans="1:2" x14ac:dyDescent="0.4">
      <c r="A561" s="11">
        <v>45847.662499999999</v>
      </c>
      <c r="B561" t="s">
        <v>320</v>
      </c>
    </row>
    <row r="562" spans="1:2" x14ac:dyDescent="0.4">
      <c r="A562" s="11">
        <v>45847.662499999999</v>
      </c>
      <c r="B562" t="s">
        <v>321</v>
      </c>
    </row>
    <row r="563" spans="1:2" x14ac:dyDescent="0.4">
      <c r="A563" s="11">
        <v>45847.662499999999</v>
      </c>
      <c r="B563" t="s">
        <v>321</v>
      </c>
    </row>
    <row r="564" spans="1:2" x14ac:dyDescent="0.4">
      <c r="A564" s="11">
        <v>45847.662499999999</v>
      </c>
      <c r="B564" t="s">
        <v>322</v>
      </c>
    </row>
    <row r="565" spans="1:2" x14ac:dyDescent="0.4">
      <c r="A565" s="11">
        <v>45847.662499999999</v>
      </c>
      <c r="B565" t="s">
        <v>322</v>
      </c>
    </row>
    <row r="566" spans="1:2" x14ac:dyDescent="0.4">
      <c r="A566" s="11">
        <v>45847.662499999999</v>
      </c>
      <c r="B566" t="s">
        <v>322</v>
      </c>
    </row>
    <row r="567" spans="1:2" x14ac:dyDescent="0.4">
      <c r="A567" s="11">
        <v>45847.662499999999</v>
      </c>
      <c r="B567" t="s">
        <v>322</v>
      </c>
    </row>
    <row r="568" spans="1:2" x14ac:dyDescent="0.4">
      <c r="A568" s="11">
        <v>45847.662499999999</v>
      </c>
      <c r="B568" t="s">
        <v>322</v>
      </c>
    </row>
    <row r="569" spans="1:2" x14ac:dyDescent="0.4">
      <c r="A569" s="11">
        <v>45847.662499999999</v>
      </c>
      <c r="B569" t="s">
        <v>323</v>
      </c>
    </row>
    <row r="570" spans="1:2" x14ac:dyDescent="0.4">
      <c r="A570" s="11">
        <v>45847.662499999999</v>
      </c>
      <c r="B570" t="s">
        <v>323</v>
      </c>
    </row>
    <row r="571" spans="1:2" x14ac:dyDescent="0.4">
      <c r="A571" s="11">
        <v>45847.662499999999</v>
      </c>
      <c r="B571" t="s">
        <v>324</v>
      </c>
    </row>
    <row r="572" spans="1:2" x14ac:dyDescent="0.4">
      <c r="A572" s="11">
        <v>45847.662499999999</v>
      </c>
      <c r="B572" t="s">
        <v>324</v>
      </c>
    </row>
    <row r="573" spans="1:2" x14ac:dyDescent="0.4">
      <c r="A573" s="11">
        <v>45847.662499999999</v>
      </c>
      <c r="B573" t="s">
        <v>324</v>
      </c>
    </row>
    <row r="574" spans="1:2" x14ac:dyDescent="0.4">
      <c r="A574" s="11">
        <v>45847.662499999999</v>
      </c>
      <c r="B574" t="s">
        <v>324</v>
      </c>
    </row>
    <row r="575" spans="1:2" x14ac:dyDescent="0.4">
      <c r="A575" s="11">
        <v>45847.662499999999</v>
      </c>
      <c r="B575" t="s">
        <v>324</v>
      </c>
    </row>
    <row r="576" spans="1:2" x14ac:dyDescent="0.4">
      <c r="A576" s="11">
        <v>45847.662499999999</v>
      </c>
      <c r="B576" t="s">
        <v>325</v>
      </c>
    </row>
    <row r="577" spans="1:2" x14ac:dyDescent="0.4">
      <c r="A577" s="11">
        <v>45847.662499999999</v>
      </c>
      <c r="B577" t="s">
        <v>325</v>
      </c>
    </row>
    <row r="578" spans="1:2" x14ac:dyDescent="0.4">
      <c r="A578" s="11">
        <v>45847.662499999999</v>
      </c>
      <c r="B578" t="s">
        <v>326</v>
      </c>
    </row>
    <row r="579" spans="1:2" x14ac:dyDescent="0.4">
      <c r="A579" s="11">
        <v>45847.662499999999</v>
      </c>
      <c r="B579" t="s">
        <v>326</v>
      </c>
    </row>
    <row r="580" spans="1:2" x14ac:dyDescent="0.4">
      <c r="A580" s="11">
        <v>45847.662499999999</v>
      </c>
      <c r="B580" t="s">
        <v>326</v>
      </c>
    </row>
    <row r="581" spans="1:2" x14ac:dyDescent="0.4">
      <c r="A581" s="11">
        <v>45847.662499999999</v>
      </c>
      <c r="B581" t="s">
        <v>326</v>
      </c>
    </row>
    <row r="582" spans="1:2" x14ac:dyDescent="0.4">
      <c r="A582" s="11">
        <v>45847.662499999999</v>
      </c>
      <c r="B582" t="s">
        <v>326</v>
      </c>
    </row>
    <row r="583" spans="1:2" x14ac:dyDescent="0.4">
      <c r="A583" s="11">
        <v>45847.662499999999</v>
      </c>
      <c r="B583" t="s">
        <v>327</v>
      </c>
    </row>
    <row r="584" spans="1:2" x14ac:dyDescent="0.4">
      <c r="A584" s="11">
        <v>45847.662499999999</v>
      </c>
      <c r="B584" t="s">
        <v>317</v>
      </c>
    </row>
    <row r="585" spans="1:2" x14ac:dyDescent="0.4">
      <c r="A585" s="11">
        <v>45847.662499999999</v>
      </c>
      <c r="B585" t="s">
        <v>317</v>
      </c>
    </row>
    <row r="586" spans="1:2" x14ac:dyDescent="0.4">
      <c r="A586" s="11">
        <v>45847.662499999999</v>
      </c>
      <c r="B586" t="s">
        <v>318</v>
      </c>
    </row>
    <row r="587" spans="1:2" x14ac:dyDescent="0.4">
      <c r="A587" s="11">
        <v>45847.662499999999</v>
      </c>
      <c r="B587" t="s">
        <v>318</v>
      </c>
    </row>
    <row r="588" spans="1:2" x14ac:dyDescent="0.4">
      <c r="A588" s="11">
        <v>45847.662499999999</v>
      </c>
      <c r="B588" t="s">
        <v>318</v>
      </c>
    </row>
    <row r="589" spans="1:2" x14ac:dyDescent="0.4">
      <c r="A589" s="11">
        <v>45847.662499999999</v>
      </c>
      <c r="B589" t="s">
        <v>318</v>
      </c>
    </row>
    <row r="590" spans="1:2" x14ac:dyDescent="0.4">
      <c r="A590" s="11">
        <v>45847.662499999999</v>
      </c>
      <c r="B590" t="s">
        <v>318</v>
      </c>
    </row>
    <row r="591" spans="1:2" x14ac:dyDescent="0.4">
      <c r="A591" s="11">
        <v>45847.662499999999</v>
      </c>
      <c r="B591" t="s">
        <v>319</v>
      </c>
    </row>
    <row r="592" spans="1:2" x14ac:dyDescent="0.4">
      <c r="A592" s="11">
        <v>45847.662499999999</v>
      </c>
      <c r="B592" t="s">
        <v>319</v>
      </c>
    </row>
    <row r="593" spans="1:2" x14ac:dyDescent="0.4">
      <c r="A593" s="11">
        <v>45847.662499999999</v>
      </c>
      <c r="B593" t="s">
        <v>320</v>
      </c>
    </row>
    <row r="594" spans="1:2" x14ac:dyDescent="0.4">
      <c r="A594" s="11">
        <v>45847.662499999999</v>
      </c>
      <c r="B594" t="s">
        <v>320</v>
      </c>
    </row>
    <row r="595" spans="1:2" x14ac:dyDescent="0.4">
      <c r="A595" s="11">
        <v>45847.662499999999</v>
      </c>
      <c r="B595" t="s">
        <v>320</v>
      </c>
    </row>
    <row r="596" spans="1:2" x14ac:dyDescent="0.4">
      <c r="A596" s="11">
        <v>45847.662499999999</v>
      </c>
      <c r="B596" t="s">
        <v>320</v>
      </c>
    </row>
    <row r="597" spans="1:2" x14ac:dyDescent="0.4">
      <c r="A597" s="11">
        <v>45847.662499999999</v>
      </c>
      <c r="B597" t="s">
        <v>320</v>
      </c>
    </row>
    <row r="598" spans="1:2" x14ac:dyDescent="0.4">
      <c r="A598" s="11">
        <v>45847.662499999999</v>
      </c>
      <c r="B598" t="s">
        <v>321</v>
      </c>
    </row>
    <row r="599" spans="1:2" x14ac:dyDescent="0.4">
      <c r="A599" s="11">
        <v>45847.662499999999</v>
      </c>
      <c r="B599" t="s">
        <v>321</v>
      </c>
    </row>
    <row r="600" spans="1:2" x14ac:dyDescent="0.4">
      <c r="A600" s="11">
        <v>45847.662499999999</v>
      </c>
      <c r="B600" t="s">
        <v>322</v>
      </c>
    </row>
    <row r="601" spans="1:2" x14ac:dyDescent="0.4">
      <c r="A601" s="11">
        <v>45847.662499999999</v>
      </c>
      <c r="B601" t="s">
        <v>322</v>
      </c>
    </row>
    <row r="602" spans="1:2" x14ac:dyDescent="0.4">
      <c r="A602" s="11">
        <v>45847.662499999999</v>
      </c>
      <c r="B602" t="s">
        <v>322</v>
      </c>
    </row>
    <row r="603" spans="1:2" x14ac:dyDescent="0.4">
      <c r="A603" s="11">
        <v>45847.662499999999</v>
      </c>
      <c r="B603" t="s">
        <v>322</v>
      </c>
    </row>
    <row r="604" spans="1:2" x14ac:dyDescent="0.4">
      <c r="A604" s="11">
        <v>45847.662499999999</v>
      </c>
      <c r="B604" t="s">
        <v>322</v>
      </c>
    </row>
    <row r="605" spans="1:2" x14ac:dyDescent="0.4">
      <c r="A605" s="11">
        <v>45847.662499999999</v>
      </c>
      <c r="B605" t="s">
        <v>323</v>
      </c>
    </row>
    <row r="606" spans="1:2" x14ac:dyDescent="0.4">
      <c r="A606" s="11">
        <v>45847.662499999999</v>
      </c>
      <c r="B606" t="s">
        <v>323</v>
      </c>
    </row>
    <row r="607" spans="1:2" x14ac:dyDescent="0.4">
      <c r="A607" s="11">
        <v>45847.662499999999</v>
      </c>
      <c r="B607" t="s">
        <v>324</v>
      </c>
    </row>
    <row r="608" spans="1:2" x14ac:dyDescent="0.4">
      <c r="A608" s="11">
        <v>45847.662499999999</v>
      </c>
      <c r="B608" t="s">
        <v>324</v>
      </c>
    </row>
    <row r="609" spans="1:2" x14ac:dyDescent="0.4">
      <c r="A609" s="11">
        <v>45847.662499999999</v>
      </c>
      <c r="B609" t="s">
        <v>324</v>
      </c>
    </row>
    <row r="610" spans="1:2" x14ac:dyDescent="0.4">
      <c r="A610" s="11">
        <v>45847.662499999999</v>
      </c>
      <c r="B610" t="s">
        <v>324</v>
      </c>
    </row>
    <row r="611" spans="1:2" x14ac:dyDescent="0.4">
      <c r="A611" s="11">
        <v>45847.662499999999</v>
      </c>
      <c r="B611" t="s">
        <v>324</v>
      </c>
    </row>
    <row r="612" spans="1:2" x14ac:dyDescent="0.4">
      <c r="A612" s="11">
        <v>45847.662499999999</v>
      </c>
      <c r="B612" t="s">
        <v>325</v>
      </c>
    </row>
    <row r="613" spans="1:2" x14ac:dyDescent="0.4">
      <c r="A613" s="11">
        <v>45847.662499999999</v>
      </c>
      <c r="B613" t="s">
        <v>325</v>
      </c>
    </row>
    <row r="614" spans="1:2" x14ac:dyDescent="0.4">
      <c r="A614" s="11">
        <v>45847.662499999999</v>
      </c>
      <c r="B614" t="s">
        <v>326</v>
      </c>
    </row>
    <row r="615" spans="1:2" x14ac:dyDescent="0.4">
      <c r="A615" s="11">
        <v>45847.662499999999</v>
      </c>
      <c r="B615" t="s">
        <v>326</v>
      </c>
    </row>
    <row r="616" spans="1:2" x14ac:dyDescent="0.4">
      <c r="A616" s="11">
        <v>45847.662499999999</v>
      </c>
      <c r="B616" t="s">
        <v>326</v>
      </c>
    </row>
    <row r="617" spans="1:2" x14ac:dyDescent="0.4">
      <c r="A617" s="11">
        <v>45847.662499999999</v>
      </c>
      <c r="B617" t="s">
        <v>326</v>
      </c>
    </row>
    <row r="618" spans="1:2" x14ac:dyDescent="0.4">
      <c r="A618" s="11">
        <v>45847.662499999999</v>
      </c>
      <c r="B618" t="s">
        <v>326</v>
      </c>
    </row>
    <row r="619" spans="1:2" x14ac:dyDescent="0.4">
      <c r="A619" s="11">
        <v>45847.662499999999</v>
      </c>
      <c r="B619" t="s">
        <v>328</v>
      </c>
    </row>
    <row r="620" spans="1:2" x14ac:dyDescent="0.4">
      <c r="A620" s="11">
        <v>45847.662499999999</v>
      </c>
      <c r="B620" t="s">
        <v>251</v>
      </c>
    </row>
    <row r="621" spans="1:2" x14ac:dyDescent="0.4">
      <c r="A621" s="11">
        <v>45847.662499999999</v>
      </c>
      <c r="B621" t="s">
        <v>225</v>
      </c>
    </row>
    <row r="622" spans="1:2" x14ac:dyDescent="0.4">
      <c r="A622" s="11">
        <v>45847.662499999999</v>
      </c>
      <c r="B622" t="s">
        <v>226</v>
      </c>
    </row>
    <row r="623" spans="1:2" x14ac:dyDescent="0.4">
      <c r="A623" s="11">
        <v>45847.662499999999</v>
      </c>
      <c r="B623" t="s">
        <v>227</v>
      </c>
    </row>
    <row r="624" spans="1:2" x14ac:dyDescent="0.4">
      <c r="A624" s="11">
        <v>45847.662499999999</v>
      </c>
      <c r="B624" t="s">
        <v>166</v>
      </c>
    </row>
    <row r="625" spans="1:2" x14ac:dyDescent="0.4">
      <c r="A625" s="11">
        <v>45847.662499999999</v>
      </c>
      <c r="B625" t="s">
        <v>330</v>
      </c>
    </row>
    <row r="626" spans="1:2" x14ac:dyDescent="0.4">
      <c r="A626" s="11">
        <v>45847.662499999999</v>
      </c>
      <c r="B626" t="s">
        <v>331</v>
      </c>
    </row>
    <row r="627" spans="1:2" x14ac:dyDescent="0.4">
      <c r="A627" s="11">
        <v>45847.662499999999</v>
      </c>
      <c r="B627" t="s">
        <v>332</v>
      </c>
    </row>
    <row r="628" spans="1:2" x14ac:dyDescent="0.4">
      <c r="A628" s="11">
        <v>45847.662499999999</v>
      </c>
      <c r="B628" t="s">
        <v>333</v>
      </c>
    </row>
    <row r="629" spans="1:2" x14ac:dyDescent="0.4">
      <c r="A629" s="11">
        <v>45847.662499999999</v>
      </c>
      <c r="B629" t="s">
        <v>334</v>
      </c>
    </row>
    <row r="630" spans="1:2" x14ac:dyDescent="0.4">
      <c r="A630" s="11">
        <v>45847.662499999999</v>
      </c>
      <c r="B630" t="s">
        <v>335</v>
      </c>
    </row>
    <row r="631" spans="1:2" x14ac:dyDescent="0.4">
      <c r="A631" s="11">
        <v>45847.662499999999</v>
      </c>
      <c r="B631" t="s">
        <v>336</v>
      </c>
    </row>
    <row r="632" spans="1:2" x14ac:dyDescent="0.4">
      <c r="A632" s="11">
        <v>45847.662499999999</v>
      </c>
      <c r="B632" t="s">
        <v>337</v>
      </c>
    </row>
    <row r="633" spans="1:2" x14ac:dyDescent="0.4">
      <c r="A633" s="11">
        <v>45847.662499999999</v>
      </c>
      <c r="B633" t="s">
        <v>338</v>
      </c>
    </row>
    <row r="634" spans="1:2" x14ac:dyDescent="0.4">
      <c r="A634" s="11">
        <v>45847.662499999999</v>
      </c>
      <c r="B634" t="s">
        <v>339</v>
      </c>
    </row>
    <row r="635" spans="1:2" x14ac:dyDescent="0.4">
      <c r="A635" s="11">
        <v>45847.662499999999</v>
      </c>
      <c r="B635" t="s">
        <v>340</v>
      </c>
    </row>
    <row r="636" spans="1:2" x14ac:dyDescent="0.4">
      <c r="A636" s="11">
        <v>45847.662499999999</v>
      </c>
      <c r="B636" t="s">
        <v>341</v>
      </c>
    </row>
    <row r="637" spans="1:2" x14ac:dyDescent="0.4">
      <c r="A637" s="11">
        <v>45847.662499999999</v>
      </c>
      <c r="B637" t="s">
        <v>342</v>
      </c>
    </row>
    <row r="638" spans="1:2" x14ac:dyDescent="0.4">
      <c r="A638" s="11">
        <v>45847.662499999999</v>
      </c>
      <c r="B638" t="s">
        <v>343</v>
      </c>
    </row>
    <row r="639" spans="1:2" x14ac:dyDescent="0.4">
      <c r="A639" s="11">
        <v>45847.662499999999</v>
      </c>
      <c r="B639" t="s">
        <v>344</v>
      </c>
    </row>
    <row r="640" spans="1:2" x14ac:dyDescent="0.4">
      <c r="A640" s="11">
        <v>45847.662499999999</v>
      </c>
      <c r="B640" t="s">
        <v>345</v>
      </c>
    </row>
    <row r="641" spans="1:2" x14ac:dyDescent="0.4">
      <c r="A641" s="11">
        <v>45847.662499999999</v>
      </c>
      <c r="B641" t="s">
        <v>346</v>
      </c>
    </row>
    <row r="642" spans="1:2" x14ac:dyDescent="0.4">
      <c r="A642" s="11">
        <v>45847.662499999999</v>
      </c>
      <c r="B642" t="s">
        <v>347</v>
      </c>
    </row>
    <row r="643" spans="1:2" x14ac:dyDescent="0.4">
      <c r="A643" s="11">
        <v>45847.662499999999</v>
      </c>
      <c r="B643" t="s">
        <v>348</v>
      </c>
    </row>
    <row r="644" spans="1:2" x14ac:dyDescent="0.4">
      <c r="A644" s="11">
        <v>45847.662499999999</v>
      </c>
      <c r="B644" t="s">
        <v>349</v>
      </c>
    </row>
    <row r="645" spans="1:2" x14ac:dyDescent="0.4">
      <c r="A645" s="11">
        <v>45847.662499999999</v>
      </c>
      <c r="B645" t="s">
        <v>350</v>
      </c>
    </row>
    <row r="646" spans="1:2" x14ac:dyDescent="0.4">
      <c r="A646" s="11">
        <v>45847.662499999999</v>
      </c>
      <c r="B646" t="s">
        <v>351</v>
      </c>
    </row>
    <row r="647" spans="1:2" x14ac:dyDescent="0.4">
      <c r="A647" s="11">
        <v>45847.662499999999</v>
      </c>
      <c r="B647" t="s">
        <v>352</v>
      </c>
    </row>
    <row r="648" spans="1:2" x14ac:dyDescent="0.4">
      <c r="A648" s="11">
        <v>45847.662499999999</v>
      </c>
      <c r="B648" t="s">
        <v>353</v>
      </c>
    </row>
    <row r="649" spans="1:2" x14ac:dyDescent="0.4">
      <c r="A649" s="11">
        <v>45847.662499999999</v>
      </c>
      <c r="B649" t="s">
        <v>354</v>
      </c>
    </row>
    <row r="650" spans="1:2" x14ac:dyDescent="0.4">
      <c r="A650" s="11">
        <v>45847.662499999999</v>
      </c>
      <c r="B650" t="s">
        <v>355</v>
      </c>
    </row>
    <row r="651" spans="1:2" x14ac:dyDescent="0.4">
      <c r="A651" s="11">
        <v>45847.662499999999</v>
      </c>
      <c r="B651" t="s">
        <v>356</v>
      </c>
    </row>
    <row r="652" spans="1:2" x14ac:dyDescent="0.4">
      <c r="A652" s="11">
        <v>45847.662499999999</v>
      </c>
      <c r="B652" t="s">
        <v>357</v>
      </c>
    </row>
    <row r="653" spans="1:2" x14ac:dyDescent="0.4">
      <c r="A653" s="11">
        <v>45847.662499999999</v>
      </c>
      <c r="B653" t="s">
        <v>358</v>
      </c>
    </row>
    <row r="654" spans="1:2" x14ac:dyDescent="0.4">
      <c r="A654" s="11">
        <v>45847.662499999999</v>
      </c>
      <c r="B654" t="s">
        <v>359</v>
      </c>
    </row>
    <row r="655" spans="1:2" x14ac:dyDescent="0.4">
      <c r="A655" s="11">
        <v>45847.662499999999</v>
      </c>
      <c r="B655" t="s">
        <v>360</v>
      </c>
    </row>
    <row r="656" spans="1:2" x14ac:dyDescent="0.4">
      <c r="A656" s="11">
        <v>45847.662499999999</v>
      </c>
      <c r="B656" t="s">
        <v>361</v>
      </c>
    </row>
    <row r="657" spans="1:2" x14ac:dyDescent="0.4">
      <c r="A657" s="11">
        <v>45847.662499999999</v>
      </c>
      <c r="B657" t="s">
        <v>362</v>
      </c>
    </row>
    <row r="658" spans="1:2" x14ac:dyDescent="0.4">
      <c r="A658" s="11">
        <v>45847.662499999999</v>
      </c>
      <c r="B658" t="s">
        <v>363</v>
      </c>
    </row>
    <row r="659" spans="1:2" x14ac:dyDescent="0.4">
      <c r="A659" s="11">
        <v>45847.662499999999</v>
      </c>
      <c r="B659" t="s">
        <v>364</v>
      </c>
    </row>
    <row r="660" spans="1:2" x14ac:dyDescent="0.4">
      <c r="A660" s="11">
        <v>45847.662499999999</v>
      </c>
      <c r="B660" t="s">
        <v>365</v>
      </c>
    </row>
    <row r="661" spans="1:2" x14ac:dyDescent="0.4">
      <c r="A661" s="11">
        <v>45847.662499999999</v>
      </c>
      <c r="B661" t="s">
        <v>366</v>
      </c>
    </row>
    <row r="662" spans="1:2" x14ac:dyDescent="0.4">
      <c r="A662" s="11">
        <v>45847.662499999999</v>
      </c>
      <c r="B662" t="s">
        <v>367</v>
      </c>
    </row>
    <row r="663" spans="1:2" x14ac:dyDescent="0.4">
      <c r="A663" s="11">
        <v>45847.662499999999</v>
      </c>
      <c r="B663" t="s">
        <v>368</v>
      </c>
    </row>
    <row r="664" spans="1:2" x14ac:dyDescent="0.4">
      <c r="A664" s="11">
        <v>45847.662499999999</v>
      </c>
      <c r="B664" t="s">
        <v>369</v>
      </c>
    </row>
    <row r="665" spans="1:2" x14ac:dyDescent="0.4">
      <c r="A665" s="11">
        <v>45847.662499999999</v>
      </c>
      <c r="B665" t="s">
        <v>370</v>
      </c>
    </row>
    <row r="666" spans="1:2" x14ac:dyDescent="0.4">
      <c r="A666" s="11">
        <v>45847.662499999999</v>
      </c>
      <c r="B666" t="s">
        <v>371</v>
      </c>
    </row>
    <row r="667" spans="1:2" x14ac:dyDescent="0.4">
      <c r="A667" s="11">
        <v>45847.662499999999</v>
      </c>
      <c r="B667" t="s">
        <v>372</v>
      </c>
    </row>
    <row r="668" spans="1:2" x14ac:dyDescent="0.4">
      <c r="A668" s="11">
        <v>45847.662499999999</v>
      </c>
      <c r="B668" t="s">
        <v>373</v>
      </c>
    </row>
    <row r="669" spans="1:2" x14ac:dyDescent="0.4">
      <c r="A669" s="11">
        <v>45847.662499999999</v>
      </c>
      <c r="B669" t="s">
        <v>374</v>
      </c>
    </row>
    <row r="670" spans="1:2" x14ac:dyDescent="0.4">
      <c r="A670" s="11">
        <v>45847.662499999999</v>
      </c>
      <c r="B670" t="s">
        <v>375</v>
      </c>
    </row>
    <row r="671" spans="1:2" x14ac:dyDescent="0.4">
      <c r="A671" s="11">
        <v>45847.662499999999</v>
      </c>
      <c r="B671" t="s">
        <v>376</v>
      </c>
    </row>
    <row r="672" spans="1:2" x14ac:dyDescent="0.4">
      <c r="A672" s="11">
        <v>45847.662499999999</v>
      </c>
      <c r="B672" t="s">
        <v>377</v>
      </c>
    </row>
    <row r="673" spans="1:2" x14ac:dyDescent="0.4">
      <c r="A673" s="11">
        <v>45847.662499999999</v>
      </c>
      <c r="B673" t="s">
        <v>378</v>
      </c>
    </row>
    <row r="674" spans="1:2" x14ac:dyDescent="0.4">
      <c r="A674" s="11">
        <v>45847.662499999999</v>
      </c>
      <c r="B674" t="s">
        <v>379</v>
      </c>
    </row>
    <row r="675" spans="1:2" x14ac:dyDescent="0.4">
      <c r="A675" s="11">
        <v>45847.662499999999</v>
      </c>
      <c r="B675" t="s">
        <v>380</v>
      </c>
    </row>
    <row r="676" spans="1:2" x14ac:dyDescent="0.4">
      <c r="A676" s="11">
        <v>45847.662499999999</v>
      </c>
      <c r="B676" t="s">
        <v>381</v>
      </c>
    </row>
    <row r="677" spans="1:2" x14ac:dyDescent="0.4">
      <c r="A677" s="11">
        <v>45847.662499999999</v>
      </c>
      <c r="B677" t="s">
        <v>382</v>
      </c>
    </row>
    <row r="678" spans="1:2" x14ac:dyDescent="0.4">
      <c r="A678" s="11">
        <v>45847.662499999999</v>
      </c>
      <c r="B678" t="s">
        <v>383</v>
      </c>
    </row>
    <row r="679" spans="1:2" x14ac:dyDescent="0.4">
      <c r="A679" s="11">
        <v>45847.662499999999</v>
      </c>
      <c r="B679" t="s">
        <v>384</v>
      </c>
    </row>
    <row r="680" spans="1:2" x14ac:dyDescent="0.4">
      <c r="A680" s="11">
        <v>45847.662499999999</v>
      </c>
      <c r="B680" t="s">
        <v>385</v>
      </c>
    </row>
    <row r="681" spans="1:2" x14ac:dyDescent="0.4">
      <c r="A681" s="11">
        <v>45847.662499999999</v>
      </c>
      <c r="B681" t="s">
        <v>386</v>
      </c>
    </row>
    <row r="682" spans="1:2" x14ac:dyDescent="0.4">
      <c r="A682" s="11">
        <v>45847.662499999999</v>
      </c>
      <c r="B682" t="s">
        <v>387</v>
      </c>
    </row>
    <row r="683" spans="1:2" x14ac:dyDescent="0.4">
      <c r="A683" s="11">
        <v>45847.662499999999</v>
      </c>
      <c r="B683" t="s">
        <v>388</v>
      </c>
    </row>
    <row r="684" spans="1:2" x14ac:dyDescent="0.4">
      <c r="A684" s="11">
        <v>45847.662499999999</v>
      </c>
      <c r="B684" t="s">
        <v>389</v>
      </c>
    </row>
    <row r="685" spans="1:2" x14ac:dyDescent="0.4">
      <c r="A685" s="11">
        <v>45847.662499999999</v>
      </c>
      <c r="B685" t="s">
        <v>390</v>
      </c>
    </row>
    <row r="686" spans="1:2" x14ac:dyDescent="0.4">
      <c r="A686" s="11">
        <v>45847.662499999999</v>
      </c>
      <c r="B686" t="s">
        <v>391</v>
      </c>
    </row>
    <row r="687" spans="1:2" x14ac:dyDescent="0.4">
      <c r="A687" s="11">
        <v>45847.662499999999</v>
      </c>
      <c r="B687" t="s">
        <v>392</v>
      </c>
    </row>
    <row r="688" spans="1:2" x14ac:dyDescent="0.4">
      <c r="A688" s="11">
        <v>45847.662499999999</v>
      </c>
      <c r="B688" t="s">
        <v>393</v>
      </c>
    </row>
    <row r="689" spans="1:2" x14ac:dyDescent="0.4">
      <c r="A689" s="11">
        <v>45847.662499999999</v>
      </c>
      <c r="B689" t="s">
        <v>394</v>
      </c>
    </row>
    <row r="690" spans="1:2" x14ac:dyDescent="0.4">
      <c r="A690" s="11">
        <v>45847.662499999999</v>
      </c>
      <c r="B690" t="s">
        <v>395</v>
      </c>
    </row>
    <row r="691" spans="1:2" x14ac:dyDescent="0.4">
      <c r="A691" s="11">
        <v>45847.662499999999</v>
      </c>
      <c r="B691" t="s">
        <v>396</v>
      </c>
    </row>
    <row r="692" spans="1:2" x14ac:dyDescent="0.4">
      <c r="A692" s="11">
        <v>45847.662499999999</v>
      </c>
      <c r="B692" t="s">
        <v>397</v>
      </c>
    </row>
    <row r="693" spans="1:2" x14ac:dyDescent="0.4">
      <c r="A693" s="11">
        <v>45847.662499999999</v>
      </c>
      <c r="B693" t="s">
        <v>398</v>
      </c>
    </row>
    <row r="694" spans="1:2" x14ac:dyDescent="0.4">
      <c r="A694" s="11">
        <v>45847.662499999999</v>
      </c>
      <c r="B694" t="s">
        <v>399</v>
      </c>
    </row>
    <row r="695" spans="1:2" x14ac:dyDescent="0.4">
      <c r="A695" s="11">
        <v>45847.662499999999</v>
      </c>
      <c r="B695" t="s">
        <v>400</v>
      </c>
    </row>
    <row r="696" spans="1:2" x14ac:dyDescent="0.4">
      <c r="A696" s="11">
        <v>45847.662499999999</v>
      </c>
      <c r="B696" t="s">
        <v>401</v>
      </c>
    </row>
    <row r="697" spans="1:2" x14ac:dyDescent="0.4">
      <c r="A697" s="11">
        <v>45847.662499999999</v>
      </c>
      <c r="B697" t="s">
        <v>251</v>
      </c>
    </row>
    <row r="698" spans="1:2" x14ac:dyDescent="0.4">
      <c r="A698" s="11">
        <v>45847.662499999999</v>
      </c>
      <c r="B698" t="s">
        <v>228</v>
      </c>
    </row>
    <row r="699" spans="1:2" x14ac:dyDescent="0.4">
      <c r="A699" s="11">
        <v>45847.662569444445</v>
      </c>
      <c r="B699" t="s">
        <v>230</v>
      </c>
    </row>
    <row r="700" spans="1:2" x14ac:dyDescent="0.4">
      <c r="A700" s="11">
        <v>45847.662581018521</v>
      </c>
      <c r="B700" t="s">
        <v>95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>
    <tabColor rgb="FFEE0000"/>
  </sheetPr>
  <dimension ref="A1:F1"/>
  <sheetViews>
    <sheetView workbookViewId="0">
      <selection activeCell="D24" sqref="D24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77</v>
      </c>
      <c r="B1" t="s">
        <v>86</v>
      </c>
      <c r="C1" t="s">
        <v>87</v>
      </c>
      <c r="D1" t="s">
        <v>88</v>
      </c>
      <c r="E1" t="s">
        <v>89</v>
      </c>
      <c r="F1" t="s">
        <v>90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>
    <tabColor theme="2" tint="-0.499984740745262"/>
  </sheetPr>
  <dimension ref="A1:D20"/>
  <sheetViews>
    <sheetView workbookViewId="0">
      <selection activeCell="F23" sqref="F23"/>
    </sheetView>
  </sheetViews>
  <sheetFormatPr defaultRowHeight="18.75" x14ac:dyDescent="0.4"/>
  <cols>
    <col min="1" max="1" width="14.75" bestFit="1" customWidth="1"/>
    <col min="3" max="3" width="17" customWidth="1"/>
  </cols>
  <sheetData>
    <row r="1" spans="1:4" x14ac:dyDescent="0.4">
      <c r="A1" t="s">
        <v>77</v>
      </c>
      <c r="B1" t="s">
        <v>80</v>
      </c>
      <c r="C1" t="s">
        <v>81</v>
      </c>
      <c r="D1" t="s">
        <v>82</v>
      </c>
    </row>
    <row r="2" spans="1:4" x14ac:dyDescent="0.4">
      <c r="A2" s="11">
        <v>45847.662407407406</v>
      </c>
      <c r="B2" t="s">
        <v>91</v>
      </c>
      <c r="C2" t="s">
        <v>92</v>
      </c>
    </row>
    <row r="3" spans="1:4" x14ac:dyDescent="0.4">
      <c r="A3" s="11">
        <v>45847.662442129629</v>
      </c>
      <c r="B3" t="s">
        <v>91</v>
      </c>
      <c r="C3" t="s">
        <v>135</v>
      </c>
      <c r="D3" t="s">
        <v>408</v>
      </c>
    </row>
    <row r="4" spans="1:4" x14ac:dyDescent="0.4">
      <c r="A4" s="11">
        <v>45847.662488425929</v>
      </c>
      <c r="B4" t="s">
        <v>91</v>
      </c>
      <c r="C4" t="s">
        <v>161</v>
      </c>
      <c r="D4" t="s">
        <v>162</v>
      </c>
    </row>
    <row r="5" spans="1:4" x14ac:dyDescent="0.4">
      <c r="A5" s="11">
        <v>45847.662488425929</v>
      </c>
      <c r="B5" t="s">
        <v>91</v>
      </c>
      <c r="C5" t="s">
        <v>249</v>
      </c>
      <c r="D5" t="s">
        <v>250</v>
      </c>
    </row>
    <row r="6" spans="1:4" x14ac:dyDescent="0.4">
      <c r="A6" s="11">
        <v>45847.662488425929</v>
      </c>
      <c r="B6" t="s">
        <v>91</v>
      </c>
      <c r="C6" t="s">
        <v>171</v>
      </c>
      <c r="D6" t="s">
        <v>172</v>
      </c>
    </row>
    <row r="7" spans="1:4" x14ac:dyDescent="0.4">
      <c r="A7" s="11">
        <v>45847.662488425929</v>
      </c>
      <c r="B7" t="s">
        <v>91</v>
      </c>
      <c r="C7" t="s">
        <v>171</v>
      </c>
      <c r="D7" t="s">
        <v>172</v>
      </c>
    </row>
    <row r="8" spans="1:4" x14ac:dyDescent="0.4">
      <c r="A8" s="11">
        <v>45847.662488425929</v>
      </c>
      <c r="B8" t="s">
        <v>91</v>
      </c>
      <c r="C8" t="s">
        <v>161</v>
      </c>
      <c r="D8" t="s">
        <v>181</v>
      </c>
    </row>
    <row r="9" spans="1:4" x14ac:dyDescent="0.4">
      <c r="A9" s="11">
        <v>45847.662488425929</v>
      </c>
      <c r="B9" t="s">
        <v>91</v>
      </c>
      <c r="C9" t="s">
        <v>161</v>
      </c>
      <c r="D9" t="s">
        <v>188</v>
      </c>
    </row>
    <row r="10" spans="1:4" x14ac:dyDescent="0.4">
      <c r="A10" s="11">
        <v>45847.662488425929</v>
      </c>
      <c r="B10" t="s">
        <v>91</v>
      </c>
      <c r="C10" t="s">
        <v>161</v>
      </c>
      <c r="D10" t="s">
        <v>192</v>
      </c>
    </row>
    <row r="11" spans="1:4" x14ac:dyDescent="0.4">
      <c r="A11" s="11">
        <v>45847.662488425929</v>
      </c>
      <c r="B11" t="s">
        <v>91</v>
      </c>
      <c r="C11" t="s">
        <v>161</v>
      </c>
      <c r="D11" t="s">
        <v>199</v>
      </c>
    </row>
    <row r="12" spans="1:4" x14ac:dyDescent="0.4">
      <c r="A12" s="11">
        <v>45847.662499999999</v>
      </c>
      <c r="B12" t="s">
        <v>91</v>
      </c>
      <c r="C12" t="s">
        <v>161</v>
      </c>
      <c r="D12" t="s">
        <v>206</v>
      </c>
    </row>
    <row r="13" spans="1:4" x14ac:dyDescent="0.4">
      <c r="A13" s="11">
        <v>45847.662499999999</v>
      </c>
      <c r="B13" t="s">
        <v>91</v>
      </c>
      <c r="C13" t="s">
        <v>249</v>
      </c>
      <c r="D13" t="s">
        <v>264</v>
      </c>
    </row>
    <row r="14" spans="1:4" x14ac:dyDescent="0.4">
      <c r="A14" s="11">
        <v>45847.662499999999</v>
      </c>
      <c r="B14" t="s">
        <v>91</v>
      </c>
      <c r="C14" t="s">
        <v>249</v>
      </c>
      <c r="D14" t="s">
        <v>277</v>
      </c>
    </row>
    <row r="15" spans="1:4" x14ac:dyDescent="0.4">
      <c r="A15" s="11">
        <v>45847.662499999999</v>
      </c>
      <c r="B15" t="s">
        <v>91</v>
      </c>
      <c r="C15" t="s">
        <v>249</v>
      </c>
      <c r="D15" t="s">
        <v>290</v>
      </c>
    </row>
    <row r="16" spans="1:4" x14ac:dyDescent="0.4">
      <c r="A16" s="11">
        <v>45847.662499999999</v>
      </c>
      <c r="B16" t="s">
        <v>91</v>
      </c>
      <c r="C16" t="s">
        <v>249</v>
      </c>
      <c r="D16" t="s">
        <v>303</v>
      </c>
    </row>
    <row r="17" spans="1:4" x14ac:dyDescent="0.4">
      <c r="A17" s="11">
        <v>45847.662499999999</v>
      </c>
      <c r="B17" t="s">
        <v>91</v>
      </c>
      <c r="C17" t="s">
        <v>249</v>
      </c>
      <c r="D17" t="s">
        <v>316</v>
      </c>
    </row>
    <row r="18" spans="1:4" x14ac:dyDescent="0.4">
      <c r="A18" s="11">
        <v>45847.662499999999</v>
      </c>
      <c r="B18" t="s">
        <v>91</v>
      </c>
      <c r="C18" t="s">
        <v>249</v>
      </c>
      <c r="D18" t="s">
        <v>329</v>
      </c>
    </row>
    <row r="19" spans="1:4" x14ac:dyDescent="0.4">
      <c r="A19" s="11">
        <v>45847.662499999999</v>
      </c>
      <c r="B19" t="s">
        <v>91</v>
      </c>
      <c r="C19" t="s">
        <v>249</v>
      </c>
      <c r="D19" t="s">
        <v>402</v>
      </c>
    </row>
    <row r="20" spans="1:4" x14ac:dyDescent="0.4">
      <c r="A20" s="11">
        <v>45847.662569444445</v>
      </c>
      <c r="B20" t="s">
        <v>91</v>
      </c>
      <c r="C20" t="s">
        <v>229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N100</cp:lastModifiedBy>
  <dcterms:created xsi:type="dcterms:W3CDTF">2025-07-04T07:31:12Z</dcterms:created>
  <dcterms:modified xsi:type="dcterms:W3CDTF">2025-07-09T06:54:10Z</dcterms:modified>
</cp:coreProperties>
</file>