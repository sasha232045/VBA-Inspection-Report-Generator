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filterPrivacy="1" codeName="ThisWorkbook" defaultThemeVersion="124226"/>
  <xr:revisionPtr revIDLastSave="0" documentId="13_ncr:1_{8ADD657E-4A62-448D-B7A9-102CF9781431}" xr6:coauthVersionLast="47" xr6:coauthVersionMax="47" xr10:uidLastSave="{00000000-0000-0000-0000-000000000000}"/>
  <bookViews>
    <workbookView xWindow="11430" yWindow="2820" windowWidth="19635" windowHeight="11295" activeTab="1" xr2:uid="{00000000-000D-0000-FFFF-FFFF00000000}"/>
  </bookViews>
  <sheets>
    <sheet name="Settings" sheetId="4" r:id="rId1"/>
    <sheet name="List" sheetId="5" r:id="rId2"/>
    <sheet name="管内List" sheetId="6" r:id="rId3"/>
    <sheet name="DebugLog" sheetId="7" r:id="rId4"/>
    <sheet name="ErrorLog" sheetId="8" r:id="rId5"/>
    <sheet name="Log" sheetId="9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4" l="1"/>
  <c r="D57" i="4"/>
  <c r="D21" i="4"/>
  <c r="D17" i="4"/>
  <c r="D20" i="4" s="1"/>
  <c r="D18" i="4" l="1"/>
  <c r="D19" i="4" s="1"/>
</calcChain>
</file>

<file path=xl/sharedStrings.xml><?xml version="1.0" encoding="utf-8"?>
<sst xmlns="http://schemas.openxmlformats.org/spreadsheetml/2006/main" count="256" uniqueCount="171">
  <si>
    <t>処理ステータス</t>
    <rPh sb="0" eb="2">
      <t>ショリ</t>
    </rPh>
    <phoneticPr fontId="3"/>
  </si>
  <si>
    <t>ステップ1：処理対象の設定</t>
  </si>
  <si>
    <t>処理対象</t>
    <rPh sb="0" eb="2">
      <t>ショリ</t>
    </rPh>
    <rPh sb="2" eb="4">
      <t>タイショウ</t>
    </rPh>
    <phoneticPr fontId="3"/>
  </si>
  <si>
    <t>旧ブック_ファイルパス</t>
    <phoneticPr fontId="3"/>
  </si>
  <si>
    <t>C:\Users\User\.vscode\Github_Repository\VBA-Inspection-Report-Generator\dist\_input.xlsm\13042771神戸港変電所-6TrBRy-2013.05.02.xls</t>
    <phoneticPr fontId="3"/>
  </si>
  <si>
    <t>凡例：オレンジ色=入力箇所</t>
    <rPh sb="7" eb="8">
      <t>イロ</t>
    </rPh>
    <phoneticPr fontId="3"/>
  </si>
  <si>
    <t>判定場所</t>
    <rPh sb="0" eb="2">
      <t>ハンテイ</t>
    </rPh>
    <rPh sb="2" eb="4">
      <t>バショ</t>
    </rPh>
    <phoneticPr fontId="3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</si>
  <si>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3"/>
  </si>
  <si>
    <t>'T87'!T7</t>
    <phoneticPr fontId="3"/>
  </si>
  <si>
    <t>保存先</t>
    <rPh sb="0" eb="3">
      <t>ホゾンサキ</t>
    </rPh>
    <phoneticPr fontId="3"/>
  </si>
  <si>
    <t>出力ブック_保存先フォルダパス</t>
    <rPh sb="0" eb="2">
      <t>シュツリョク</t>
    </rPh>
    <phoneticPr fontId="3"/>
  </si>
  <si>
    <t>C:\Users\User\.vscode\Github_Repository\VBA-Inspection-Report-Generator\dist</t>
    <phoneticPr fontId="3"/>
  </si>
  <si>
    <t>↓</t>
    <phoneticPr fontId="3"/>
  </si>
  <si>
    <t>ステップ2：設定内容の自動確認</t>
  </si>
  <si>
    <t>判断結果</t>
    <rPh sb="0" eb="2">
      <t>ハンダン</t>
    </rPh>
    <rPh sb="2" eb="4">
      <t>ケッカ</t>
    </rPh>
    <phoneticPr fontId="3"/>
  </si>
  <si>
    <t>旧ブック_ファイル名</t>
    <rPh sb="9" eb="10">
      <t>メイ</t>
    </rPh>
    <phoneticPr fontId="3"/>
  </si>
  <si>
    <t>凡例：薄いグレー=自動表示</t>
    <phoneticPr fontId="3"/>
  </si>
  <si>
    <t>単価契約明細ＮＯ</t>
    <phoneticPr fontId="3"/>
  </si>
  <si>
    <t>変電所-</t>
    <rPh sb="0" eb="3">
      <t>ヘンデンショ</t>
    </rPh>
    <phoneticPr fontId="3"/>
  </si>
  <si>
    <t>TrB Ry-</t>
    <phoneticPr fontId="3"/>
  </si>
  <si>
    <t>日付</t>
    <rPh sb="0" eb="2">
      <t>ヒヅケ</t>
    </rPh>
    <phoneticPr fontId="3"/>
  </si>
  <si>
    <t>型式</t>
    <rPh sb="0" eb="2">
      <t>カタシキ</t>
    </rPh>
    <phoneticPr fontId="3"/>
  </si>
  <si>
    <t>SYT-L-4E1</t>
    <phoneticPr fontId="3"/>
  </si>
  <si>
    <t>←マクロでD4のファイルのD5アドレスを参照して判断する</t>
    <rPh sb="20" eb="22">
      <t>サンショウ</t>
    </rPh>
    <rPh sb="24" eb="26">
      <t>ハンダン</t>
    </rPh>
    <phoneticPr fontId="3"/>
  </si>
  <si>
    <t>種類</t>
    <rPh sb="0" eb="2">
      <t>シュルイ</t>
    </rPh>
    <phoneticPr fontId="3"/>
  </si>
  <si>
    <t>日立自立盤変電所-456TrB</t>
    <phoneticPr fontId="3"/>
  </si>
  <si>
    <t>←ListシートからXLOOKUP関数</t>
    <rPh sb="17" eb="19">
      <t>カンスウ</t>
    </rPh>
    <phoneticPr fontId="3"/>
  </si>
  <si>
    <t>新ブック_ファイルパス</t>
    <rPh sb="0" eb="1">
      <t>シン</t>
    </rPh>
    <phoneticPr fontId="3"/>
  </si>
  <si>
    <t>C:\Users\User\.vscode\Github_Repository\VBA-Inspection-Report-Generator\dist\_Template.xlsm\日立自立盤変電所-456TrB Ry-2025.99.99（データ入力中）.xls</t>
    <phoneticPr fontId="3"/>
  </si>
  <si>
    <t>本部</t>
    <rPh sb="0" eb="2">
      <t>ホンブ</t>
    </rPh>
    <phoneticPr fontId="3"/>
  </si>
  <si>
    <t>大阪南</t>
    <rPh sb="0" eb="1">
      <t>オオサカ</t>
    </rPh>
    <rPh sb="1" eb="2">
      <t>ミナミ</t>
    </rPh>
    <phoneticPr fontId="3"/>
  </si>
  <si>
    <t>←管内ListシートからXLOOKUP関数</t>
    <rPh sb="1" eb="7">
      <t>カンナイ</t>
    </rPh>
    <rPh sb="19" eb="21">
      <t>カンスウ</t>
    </rPh>
    <phoneticPr fontId="3"/>
  </si>
  <si>
    <t>管内</t>
    <rPh sb="0" eb="2">
      <t>カンナイ</t>
    </rPh>
    <phoneticPr fontId="3"/>
  </si>
  <si>
    <t>南大阪</t>
    <rPh sb="0" eb="1">
      <t>ミナミオオサカ</t>
    </rPh>
    <phoneticPr fontId="3"/>
  </si>
  <si>
    <t>ステップ3：処理内容の定義</t>
  </si>
  <si>
    <t>シートNo</t>
    <phoneticPr fontId="3"/>
  </si>
  <si>
    <t>処理種類.</t>
    <rPh sb="0" eb="2">
      <t>ショリ</t>
    </rPh>
    <rPh sb="2" eb="4">
      <t>シュルイ</t>
    </rPh>
    <phoneticPr fontId="3"/>
  </si>
  <si>
    <t>処理内容</t>
    <rPh sb="0" eb="3">
      <t>ショリナイヨウ</t>
    </rPh>
    <phoneticPr fontId="3"/>
  </si>
  <si>
    <t>内容</t>
    <rPh sb="0" eb="2">
      <t>ナイヨウ</t>
    </rPh>
    <phoneticPr fontId="3"/>
  </si>
  <si>
    <t>旧ブック_シート名</t>
    <rPh sb="0" eb="1">
      <t>キュウ</t>
    </rPh>
    <phoneticPr fontId="3"/>
  </si>
  <si>
    <t>統一表紙</t>
    <phoneticPr fontId="3"/>
  </si>
  <si>
    <t>新ブック_シート名</t>
    <rPh sb="0" eb="1">
      <t>シン</t>
    </rPh>
    <phoneticPr fontId="3"/>
  </si>
  <si>
    <t>共通(77kV以下)</t>
    <phoneticPr fontId="3"/>
  </si>
  <si>
    <t>旧ブック_コピー元アドレス</t>
    <rPh sb="0" eb="1">
      <t>キュウ</t>
    </rPh>
    <rPh sb="8" eb="9">
      <t>モト</t>
    </rPh>
    <phoneticPr fontId="3"/>
  </si>
  <si>
    <t>A4:CH62</t>
    <phoneticPr fontId="3"/>
  </si>
  <si>
    <t>新ブック_コピー先アドレス</t>
    <rPh sb="0" eb="1">
      <t>シン</t>
    </rPh>
    <rPh sb="8" eb="9">
      <t>サキ</t>
    </rPh>
    <phoneticPr fontId="3"/>
  </si>
  <si>
    <t>A4</t>
    <phoneticPr fontId="3"/>
  </si>
  <si>
    <t>新ブック_削除するアドレス</t>
    <phoneticPr fontId="3"/>
  </si>
  <si>
    <t>BO22,BO23,BO24,BJ25,AF30:AF41,BB61,BG61,BG62,BL61,BL62,BQ61:CA61</t>
    <phoneticPr fontId="3"/>
  </si>
  <si>
    <t>新ブック_入力するアドレス</t>
    <rPh sb="5" eb="7">
      <t>ニュウリョク</t>
    </rPh>
    <phoneticPr fontId="3"/>
  </si>
  <si>
    <t>P14,AH14</t>
    <phoneticPr fontId="3"/>
  </si>
  <si>
    <t>新ブック_入力する内容</t>
    <rPh sb="5" eb="7">
      <t>ニュウリョク</t>
    </rPh>
    <rPh sb="9" eb="11">
      <t>ナイヨウ</t>
    </rPh>
    <phoneticPr fontId="3"/>
  </si>
  <si>
    <t>T87</t>
    <phoneticPr fontId="3"/>
  </si>
  <si>
    <t>A5:CH10</t>
    <phoneticPr fontId="3"/>
  </si>
  <si>
    <t>51</t>
    <phoneticPr fontId="3"/>
  </si>
  <si>
    <t>A45:CH49</t>
    <phoneticPr fontId="3"/>
  </si>
  <si>
    <t>84</t>
    <phoneticPr fontId="3"/>
  </si>
  <si>
    <t>ﾀｲﾏｰ</t>
    <phoneticPr fontId="3"/>
  </si>
  <si>
    <t>A5:CH67</t>
    <phoneticPr fontId="3"/>
  </si>
  <si>
    <t>AY11:CH12</t>
    <phoneticPr fontId="3"/>
  </si>
  <si>
    <t>AY20:CH21</t>
    <phoneticPr fontId="3"/>
  </si>
  <si>
    <t>AY29:CH30</t>
    <phoneticPr fontId="3"/>
  </si>
  <si>
    <t>AY38:CH39</t>
    <phoneticPr fontId="3"/>
  </si>
  <si>
    <t>AY47:CH48</t>
    <phoneticPr fontId="3"/>
  </si>
  <si>
    <t>AY56:CH57</t>
    <phoneticPr fontId="3"/>
  </si>
  <si>
    <t>AY65:CH66</t>
    <phoneticPr fontId="3"/>
  </si>
  <si>
    <t xml:space="preserve"> </t>
    <phoneticPr fontId="3"/>
  </si>
  <si>
    <t>C:\Users\N100\Desktop\点検報告書作成支援ツール（変電）(20250430)\点検報告書(自動保存分)\日立自立盤変電所-456TrB Ry-2025.99.99（データ入力中）.xls</t>
    <phoneticPr fontId="3"/>
  </si>
  <si>
    <t>吉野</t>
    <rPh sb="0" eb="2">
      <t>ヨシノ</t>
    </rPh>
    <phoneticPr fontId="3"/>
  </si>
  <si>
    <t>C:\Users\N100\Desktop\点検報告書作成支援ツール（変電）(20250430)\点検報告書(自動保存分)\日立自立盤変電所-123TrB Ry-2025.99.99（データ入力中）.xls</t>
  </si>
  <si>
    <t>日立自立盤変電所-123TrB</t>
    <phoneticPr fontId="3"/>
  </si>
  <si>
    <t>奈良</t>
    <rPh sb="0" eb="2">
      <t>ナラ</t>
    </rPh>
    <phoneticPr fontId="3"/>
  </si>
  <si>
    <t>C:\Users\N100\Desktop\点検報告書作成支援ツール（変電）(20250430)\点検報告書(自動保存分)\日立Ｃｕｂ変電所-456TrB Ry-2025.99.99（データ入力中）.xls</t>
  </si>
  <si>
    <t>日立Cub-456TrB</t>
    <phoneticPr fontId="3"/>
  </si>
  <si>
    <t>尼崎</t>
    <rPh sb="0" eb="2">
      <t>アマガサキ</t>
    </rPh>
    <phoneticPr fontId="3"/>
  </si>
  <si>
    <t>C:\Users\N100\Desktop\点検報告書作成支援ツール（変電）(20250430)\点検報告書(自動保存分)\日立Ｃｕｂ変電所-123TrB Ry-2025.99.99（データ入力中）.xls</t>
  </si>
  <si>
    <t>日立Cub-123TrB</t>
    <phoneticPr fontId="3"/>
  </si>
  <si>
    <t>神戸</t>
    <rPh sb="0" eb="2">
      <t>コウベ</t>
    </rPh>
    <phoneticPr fontId="3"/>
  </si>
  <si>
    <t>C:\Users\N100\Desktop\点検報告書作成支援ツール（変電）(20250430)\点検報告書(自動保存分)\日新Ｄ１変電所-456TrB Ry-2025.99.99（データ入力中）.xls</t>
  </si>
  <si>
    <t>日新D1-456TrB</t>
    <phoneticPr fontId="3"/>
  </si>
  <si>
    <t>我孫子</t>
    <rPh sb="0" eb="3">
      <t>アビコ</t>
    </rPh>
    <phoneticPr fontId="3"/>
  </si>
  <si>
    <t>C:\Users\N100\Desktop\点検報告書作成支援ツール（変電）(20250430)\点検報告書(自動保存分)\日新Ｄ１変電所-123TrB Ry-2025.99.99（データ入力中）.xls</t>
  </si>
  <si>
    <t>日新D1-123TrB</t>
    <phoneticPr fontId="3"/>
  </si>
  <si>
    <t>南大阪</t>
    <rPh sb="0" eb="3">
      <t>ミナミオオサカ</t>
    </rPh>
    <phoneticPr fontId="3"/>
  </si>
  <si>
    <t>C:\Users\N100\Desktop\点検報告書作成支援ツール（変電）(20250430)\点検報告書(自動保存分)\日新Ｃｕｂ変電所-456TrB Ry-2025.99.99（データ入力中）.xls</t>
  </si>
  <si>
    <t>日新Cub-456TrB</t>
    <phoneticPr fontId="3"/>
  </si>
  <si>
    <t>野江</t>
    <rPh sb="0" eb="2">
      <t>ノエ</t>
    </rPh>
    <phoneticPr fontId="3"/>
  </si>
  <si>
    <t>大阪南</t>
    <rPh sb="0" eb="2">
      <t>オオサカ</t>
    </rPh>
    <rPh sb="2" eb="3">
      <t>ミナミ</t>
    </rPh>
    <phoneticPr fontId="3"/>
  </si>
  <si>
    <t>C:\Users\N100\Desktop\点検報告書作成支援ツール（変電）(20250430)\点検報告書(自動保存分)\日新Ｃｕｂ変電所-123TrB Ry-2025.99.99（データ入力中）.xls</t>
  </si>
  <si>
    <t>日新Cub-123TrB</t>
  </si>
  <si>
    <t>小曽根</t>
    <rPh sb="0" eb="3">
      <t>オゾネ</t>
    </rPh>
    <phoneticPr fontId="3"/>
  </si>
  <si>
    <t>大阪北</t>
    <rPh sb="0" eb="3">
      <t>オオサカキタ</t>
    </rPh>
    <phoneticPr fontId="3"/>
  </si>
  <si>
    <t>処理No.</t>
    <rPh sb="0" eb="2">
      <t>ショリ</t>
    </rPh>
    <phoneticPr fontId="3"/>
  </si>
  <si>
    <t>処理対象箇所</t>
    <rPh sb="0" eb="4">
      <t>ショリタイショウ</t>
    </rPh>
    <rPh sb="4" eb="6">
      <t>カショ</t>
    </rPh>
    <phoneticPr fontId="3"/>
  </si>
  <si>
    <t>ファイルパス</t>
    <phoneticPr fontId="3"/>
  </si>
  <si>
    <t>判断結果</t>
  </si>
  <si>
    <t>画面描画を再開し、処理を終了します。</t>
  </si>
  <si>
    <t>致命的なエラーが発生しました。処理を中断します。 エラー: 型が一致しません。</t>
  </si>
  <si>
    <t>タスク実行中にエラーが発生しました。エラーを記録し、次のタスクへ進みます。 エラー: 型が一致しません。</t>
  </si>
  <si>
    <t xml:space="preserve">60行目: , , , </t>
  </si>
  <si>
    <t>シート '共通(77kV以下)' を再度保護しました。</t>
  </si>
  <si>
    <t>入力処理が完了しました。</t>
  </si>
  <si>
    <t>シート '共通(77kV以下)' の保護を解除しました。</t>
  </si>
  <si>
    <t>Rangeオブジェクトの変換に成功しました。</t>
  </si>
  <si>
    <t>アドレス文字列をRangeオブジェクトに変換します: P14,AH14</t>
  </si>
  <si>
    <t>入力処理実行: 対象[共通(77kV以下)!P14,AH14] に '2025.07.07' を入力</t>
  </si>
  <si>
    <t>59行目: 1, 7, 新ブック_入力する内容, 2025.07.07</t>
  </si>
  <si>
    <t>58行目: 1, 6, 新ブック_入力するアドレス, P14,AH14</t>
  </si>
  <si>
    <t>57行目: 1, 7, 新ブック_入力する内容, 2025.07.07</t>
  </si>
  <si>
    <t>56行目: 1, 6, 新ブック_入力するアドレス, P14,AH14</t>
  </si>
  <si>
    <t>[DeleteData] 致命的エラー: ClearContents失敗。エラー: アプリケーション定義またはオブジェクト定義のエラーです。</t>
  </si>
  <si>
    <t>[DeleteData] シート保護解除成功</t>
  </si>
  <si>
    <t>[DeleteData] レンジオブジェクト取得成功</t>
  </si>
  <si>
    <t>アドレス文字列をRangeオブジェクトに変換します: BO22,BO23,BO24,BJ25,AF30:AF41,BB61,BG61,BG62,BL61,BL62,BQ61:CA61</t>
  </si>
  <si>
    <t>[DeleteData] シートオブジェクト取得成功</t>
  </si>
  <si>
    <t>[DeleteData] 開始: 対象[共通(77kV以下)!BO22,BO23,BO24,BJ25,AF30:AF41,BB61,BG61,BG62,BL61,BL62,BQ61:CA61]</t>
  </si>
  <si>
    <t>55行目: 1, 5, 新ブック_削除するアドレス, BO22,BO23,BO24,BJ25,AF30:AF41,BB61,BG61,BG62,BL61,BL62,BQ61:CA61</t>
  </si>
  <si>
    <t>コピー処理実行: 旧[統一表紙!A4:CH62] -&gt; 新[共通(77kV以下)!A4]</t>
  </si>
  <si>
    <t>54行目: 1, 4, 新ブック_コピー先アドレス, A4</t>
  </si>
  <si>
    <t>53行目: 1, 3, 旧ブック_コピー元アドレス, A4:CH62</t>
  </si>
  <si>
    <t>52行目: 1, 2, 新ブック_シート名, 共通(77kV以下)</t>
  </si>
  <si>
    <t>51行目: 1, 1, 旧ブック_シート名, 統一表紙</t>
  </si>
  <si>
    <t>SettingsシートのA51からループを開始します。</t>
  </si>
  <si>
    <t>ワークブックを開きます: C:\Users\User\.vscode\Github_Repository\VBA-Inspection-Report-Generator\dist\_神戸港変電所-6TrBRy-2013.05.02.xls</t>
  </si>
  <si>
    <t>ワークブックを開きます: C:\Users\User\.vscode\Github_Repository\VBA-Inspection-Report-Generator\dist\_input.xlsm\13042771神戸港変電所-6TrBRy-2013.05.02.xls</t>
  </si>
  <si>
    <t>Settingsシートの最終行: 88</t>
  </si>
  <si>
    <t>新ブックパス: C:\Users\User\.vscode\Github_Repository\VBA-Inspection-Report-Generator\dist\_神戸港変電所-6TrBRy-2013.05.02.xls</t>
  </si>
  <si>
    <t>旧ブックパス: C:\Users\User\.vscode\Github_Repository\VBA-Inspection-Report-Generator\dist\_input.xlsm\13042771神戸港変電所-6TrBRy-2013.05.02.xls</t>
  </si>
  <si>
    <t>データ移行処理(ExecuteAllTasks)を開始します。</t>
  </si>
  <si>
    <t>データ移行処理を開始します。</t>
  </si>
  <si>
    <t>新しいブックの作成が完了しました。</t>
  </si>
  <si>
    <t>新しいブックの保存先パス: C:\Users\User\.vscode\Github_Repository\VBA-Inspection-Report-Generator\dist\_神戸港変電所-6TrBRy-2013.05.02.xls</t>
  </si>
  <si>
    <t>SettingsシートD9から保存先フォルダを取得しました: C:\Users\User\.vscode\Github_Repository\VBA-Inspection-Report-Generator\dist</t>
  </si>
  <si>
    <t>生成された新しいファイル名: _神戸港変電所-6TrBRy-2013.05.02.xls</t>
  </si>
  <si>
    <t>テンプレートパス: C:\Users\User\.vscode\Github_Repository\VBA-Inspection-Report-Generator\dist\_Template.xlsm\日立自立盤変電所-456TrB Ry-2025.99.99（データ入力中）.xls</t>
  </si>
  <si>
    <t>新しいブックの作成を開始します。</t>
  </si>
  <si>
    <t>新ブックを作成します。</t>
  </si>
  <si>
    <t>取得した型式: SYT-L-4E1</t>
  </si>
  <si>
    <t>値を取得しました: SYT-L-4E1</t>
  </si>
  <si>
    <t>解析成功: シート名='T87', アドレス='T7'</t>
  </si>
  <si>
    <t>アドレス解析を開始: 'T87'!T7</t>
  </si>
  <si>
    <t>旧ブックの値取得を開始: 'T87'!T7</t>
  </si>
  <si>
    <t>旧ブックから型式を取得します。</t>
  </si>
  <si>
    <t>旧ブックを開きます。</t>
  </si>
  <si>
    <t>判定アドレス: 'T87'!T7</t>
  </si>
  <si>
    <t>設定シートから値を取得します。</t>
  </si>
  <si>
    <t>シート 'ErrorLog' をクリアします。</t>
  </si>
  <si>
    <t>シート 'Log' をクリアします。</t>
  </si>
  <si>
    <t>LogシートとErrorシートを初期化します。</t>
  </si>
  <si>
    <t>メイン処理を開始します。</t>
  </si>
  <si>
    <t>デバッグメッセージ</t>
  </si>
  <si>
    <t>日時</t>
  </si>
  <si>
    <t>実行時エラー: 0</t>
  </si>
  <si>
    <t>-</t>
  </si>
  <si>
    <t>[致命的エラー]</t>
  </si>
  <si>
    <t>エラー詳細</t>
  </si>
  <si>
    <t>エラー内容</t>
  </si>
  <si>
    <t>処理No.</t>
  </si>
  <si>
    <t>処理シートNo</t>
  </si>
  <si>
    <t>エラーレベル</t>
  </si>
  <si>
    <t>対象: '共通(77kV以下)'!P14,AH14, 内容: 2025.07.07</t>
  </si>
  <si>
    <t>入力処理</t>
  </si>
  <si>
    <t>INFO</t>
  </si>
  <si>
    <t>旧: '統一表紙'!A4:CH62 -&gt; 新: '共通(77kV以下)'!A4</t>
  </si>
  <si>
    <t>コピー処理</t>
  </si>
  <si>
    <t>作成パス: C:\Users\User\.vscode\Github_Repository\VBA-Inspection-Report-Generator\dist\_神戸港変電所-6TrBRy-2013.05.02.xls</t>
  </si>
  <si>
    <t>新ブック作成</t>
  </si>
  <si>
    <t>処理開始</t>
  </si>
  <si>
    <t>詳細</t>
  </si>
  <si>
    <t>処理内容</t>
  </si>
  <si>
    <t>レベル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</si>
</sst>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9">
    <xf numFmtId="0" fontId="0" fillId="0" borderId="0" xfId="0">
      <alignment vertical="center"/>
    </xf>
    <xf numFmtId="0" fontId="1" fillId="0" borderId="0" xfId="1">
      <alignment vertical="center"/>
    </xf>
    <xf numFmtId="0" fontId="1" fillId="2" borderId="1" xfId="1" applyFill="1" applyBorder="1" applyAlignment="1">
      <alignment horizontal="right" vertical="center"/>
    </xf>
    <xf numFmtId="0" fontId="1" fillId="2" borderId="1" xfId="1" quotePrefix="1" applyFill="1" applyBorder="1">
      <alignment vertical="center"/>
    </xf>
    <xf numFmtId="0" fontId="1" fillId="2" borderId="1" xfId="1" quotePrefix="1" applyFill="1" applyBorder="1" applyAlignment="1">
      <alignment horizontal="right" vertical="center"/>
    </xf>
    <xf numFmtId="0" fontId="1" fillId="0" borderId="0" xfId="1" quotePrefix="1">
      <alignment vertical="center"/>
    </xf>
    <xf numFmtId="0" fontId="1" fillId="3" borderId="1" xfId="1" applyFill="1" applyBorder="1">
      <alignment vertical="center"/>
    </xf>
    <xf numFmtId="0" fontId="1" fillId="4" borderId="1" xfId="1" applyFill="1" applyBorder="1">
      <alignment vertical="center"/>
    </xf>
    <xf numFmtId="0" fontId="1" fillId="3" borderId="1" xfId="1" applyFill="1" applyBorder="1" applyAlignment="1">
      <alignment horizontal="right" vertical="center"/>
    </xf>
    <xf numFmtId="0" fontId="1" fillId="2" borderId="2" xfId="1" applyFill="1" applyBorder="1">
      <alignment vertical="center"/>
    </xf>
    <xf numFmtId="0" fontId="1" fillId="2" borderId="1" xfId="1" applyFill="1" applyBorder="1">
      <alignment vertical="center"/>
    </xf>
    <xf numFmtId="14" fontId="1" fillId="2" borderId="1" xfId="1" applyNumberFormat="1" applyFill="1" applyBorder="1">
      <alignment vertical="center"/>
    </xf>
    <xf numFmtId="0" fontId="1" fillId="0" borderId="3" xfId="1" applyBorder="1">
      <alignment vertical="center"/>
    </xf>
    <xf numFmtId="0" fontId="1" fillId="0" borderId="4" xfId="1" applyBorder="1">
      <alignment vertical="center"/>
    </xf>
    <xf numFmtId="0" fontId="1" fillId="0" borderId="3" xfId="1" quotePrefix="1" applyBorder="1">
      <alignment vertical="center"/>
    </xf>
    <xf numFmtId="0" fontId="5" fillId="0" borderId="0" xfId="1" applyFont="1">
      <alignment vertical="center"/>
    </xf>
    <xf numFmtId="22" fontId="1" fillId="0" borderId="0" xfId="1" applyNumberFormat="1">
      <alignment vertical="center"/>
    </xf>
    <xf numFmtId="0" fontId="1" fillId="5" borderId="0" xfId="1" applyFill="1">
      <alignment vertical="center"/>
    </xf>
    <xf numFmtId="22" fontId="1" fillId="5" borderId="0" xfId="1" applyNumberFormat="1" applyFill="1">
      <alignment vertical="center"/>
    </xf>
  </cellXfs>
  <cellStyles count="2">
    <cellStyle name="標準" xfId="0" builtinId="0"/>
    <cellStyle name="標準 2" xfId="1" xr:uid="{5B58EFF7-C609-4995-8E24-D9A8C2DFDD6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515CD-E5A0-4589-94A5-C6ED978914EE}">
  <sheetPr codeName="Sheet4"/>
  <dimension ref="A2:F88"/>
  <sheetViews>
    <sheetView workbookViewId="0">
      <selection sqref="A1:G91"/>
    </sheetView>
  </sheetViews>
  <sheetFormatPr defaultRowHeight="13.5" x14ac:dyDescent="0.15"/>
  <cols>
    <col min="1" max="1" width="14.25" style="1" customWidth="1"/>
    <col min="2" max="2" width="9" style="1" bestFit="1" customWidth="1"/>
    <col min="3" max="3" width="32.375" style="1" bestFit="1" customWidth="1"/>
    <col min="4" max="4" width="41.875" style="1" customWidth="1"/>
    <col min="5" max="16384" width="9" style="1"/>
  </cols>
  <sheetData>
    <row r="2" spans="1:6" x14ac:dyDescent="0.15">
      <c r="A2" s="1" t="s">
        <v>0</v>
      </c>
    </row>
    <row r="6" spans="1:6" x14ac:dyDescent="0.15">
      <c r="A6" s="1" t="s">
        <v>1</v>
      </c>
    </row>
    <row r="7" spans="1:6" x14ac:dyDescent="0.15">
      <c r="B7" s="1" t="s">
        <v>2</v>
      </c>
      <c r="C7" s="1" t="s">
        <v>3</v>
      </c>
      <c r="D7" s="2" t="s">
        <v>4</v>
      </c>
      <c r="F7" s="1" t="s">
        <v>5</v>
      </c>
    </row>
    <row r="8" spans="1:6" x14ac:dyDescent="0.15">
      <c r="B8" s="1" t="s">
        <v>6</v>
      </c>
      <c r="C8" s="1" t="s">
        <v>7</v>
      </c>
      <c r="D8" s="3" t="s">
        <v>8</v>
      </c>
    </row>
    <row r="9" spans="1:6" x14ac:dyDescent="0.15">
      <c r="B9" s="1" t="s">
        <v>9</v>
      </c>
      <c r="C9" s="1" t="s">
        <v>10</v>
      </c>
      <c r="D9" s="4" t="s">
        <v>11</v>
      </c>
    </row>
    <row r="10" spans="1:6" hidden="1" x14ac:dyDescent="0.15"/>
    <row r="11" spans="1:6" hidden="1" x14ac:dyDescent="0.15"/>
    <row r="12" spans="1:6" hidden="1" x14ac:dyDescent="0.15"/>
    <row r="13" spans="1:6" hidden="1" x14ac:dyDescent="0.15"/>
    <row r="14" spans="1:6" hidden="1" x14ac:dyDescent="0.15"/>
    <row r="15" spans="1:6" x14ac:dyDescent="0.15">
      <c r="B15" s="1" t="s">
        <v>12</v>
      </c>
      <c r="D15" s="5"/>
    </row>
    <row r="16" spans="1:6" x14ac:dyDescent="0.15">
      <c r="A16" s="1" t="s">
        <v>13</v>
      </c>
      <c r="D16" s="5"/>
    </row>
    <row r="17" spans="2:6" x14ac:dyDescent="0.15">
      <c r="B17" s="1" t="s">
        <v>14</v>
      </c>
      <c r="C17" s="1" t="s">
        <v>15</v>
      </c>
      <c r="D17" s="6" t="str">
        <f>TRIM(RIGHT(SUBSTITUTE(D7,"\",REPT(" ",100)),100))</f>
        <v>13042771神戸港変電所-6TrBRy-2013.05.02.xls</v>
      </c>
      <c r="F17" s="1" t="s">
        <v>16</v>
      </c>
    </row>
    <row r="18" spans="2:6" x14ac:dyDescent="0.15">
      <c r="C18" s="1" t="s">
        <v>17</v>
      </c>
      <c r="D18" s="6" t="str">
        <f>IFERROR(LEFT(D17,FIND("神戸港変電所",D17)-1),"")</f>
        <v>13042771</v>
      </c>
    </row>
    <row r="19" spans="2:6" x14ac:dyDescent="0.15">
      <c r="C19" s="1" t="s">
        <v>18</v>
      </c>
      <c r="D19" s="6" t="str">
        <f>IFERROR(MID(D17,LEN(D18)+1,FIND("所-",D17)-LEN(D18)),"")</f>
        <v>神戸港変電所</v>
      </c>
    </row>
    <row r="20" spans="2:6" x14ac:dyDescent="0.15">
      <c r="C20" s="1" t="s">
        <v>19</v>
      </c>
      <c r="D20" s="6" t="str">
        <f>IFERROR(MID(D17,FIND("所-",D17)+LEN("所-"),FIND("-20",D17)-(FIND("所-",D17)+LEN("所-"))),"")</f>
        <v>6TrBRy</v>
      </c>
    </row>
    <row r="21" spans="2:6" x14ac:dyDescent="0.15">
      <c r="C21" s="1" t="s">
        <v>20</v>
      </c>
      <c r="D21" s="6" t="str">
        <f>LEFT(RIGHT(D7,14),10)</f>
        <v>2013.05.02</v>
      </c>
    </row>
    <row r="22" spans="2:6" x14ac:dyDescent="0.15">
      <c r="C22" s="1" t="s">
        <v>21</v>
      </c>
      <c r="D22" s="7" t="s">
        <v>22</v>
      </c>
      <c r="E22" s="1" t="s">
        <v>23</v>
      </c>
    </row>
    <row r="23" spans="2:6" x14ac:dyDescent="0.15">
      <c r="C23" s="1" t="s">
        <v>24</v>
      </c>
      <c r="D23" s="6" t="s">
        <v>25</v>
      </c>
      <c r="E23" s="1" t="s">
        <v>26</v>
      </c>
    </row>
    <row r="24" spans="2:6" x14ac:dyDescent="0.15">
      <c r="C24" s="1" t="s">
        <v>27</v>
      </c>
      <c r="D24" s="8" t="s">
        <v>28</v>
      </c>
      <c r="E24" s="1" t="s">
        <v>26</v>
      </c>
    </row>
    <row r="25" spans="2:6" x14ac:dyDescent="0.15">
      <c r="C25" s="1" t="s">
        <v>29</v>
      </c>
      <c r="D25" s="6" t="s">
        <v>30</v>
      </c>
      <c r="E25" s="1" t="s">
        <v>31</v>
      </c>
    </row>
    <row r="26" spans="2:6" x14ac:dyDescent="0.15">
      <c r="C26" s="1" t="s">
        <v>32</v>
      </c>
      <c r="D26" s="6" t="s">
        <v>33</v>
      </c>
      <c r="E26" s="1" t="s">
        <v>31</v>
      </c>
    </row>
    <row r="27" spans="2:6" hidden="1" x14ac:dyDescent="0.15"/>
    <row r="28" spans="2:6" hidden="1" x14ac:dyDescent="0.15"/>
    <row r="29" spans="2:6" hidden="1" x14ac:dyDescent="0.15"/>
    <row r="30" spans="2:6" hidden="1" x14ac:dyDescent="0.15"/>
    <row r="31" spans="2:6" hidden="1" x14ac:dyDescent="0.15"/>
    <row r="32" spans="2:6" hidden="1" x14ac:dyDescent="0.15"/>
    <row r="33" hidden="1" x14ac:dyDescent="0.15"/>
    <row r="34" hidden="1" x14ac:dyDescent="0.15"/>
    <row r="35" hidden="1" x14ac:dyDescent="0.15"/>
    <row r="36" hidden="1" x14ac:dyDescent="0.15"/>
    <row r="37" hidden="1" x14ac:dyDescent="0.15"/>
    <row r="38" hidden="1" x14ac:dyDescent="0.15"/>
    <row r="39" hidden="1" x14ac:dyDescent="0.15"/>
    <row r="40" hidden="1" x14ac:dyDescent="0.15"/>
    <row r="41" hidden="1" x14ac:dyDescent="0.15"/>
    <row r="42" hidden="1" x14ac:dyDescent="0.15"/>
    <row r="43" hidden="1" x14ac:dyDescent="0.15"/>
    <row r="44" hidden="1" x14ac:dyDescent="0.15"/>
    <row r="45" hidden="1" x14ac:dyDescent="0.15"/>
    <row r="46" hidden="1" x14ac:dyDescent="0.15"/>
    <row r="47" hidden="1" x14ac:dyDescent="0.15"/>
    <row r="49" spans="1:4" x14ac:dyDescent="0.15">
      <c r="A49" s="1" t="s">
        <v>34</v>
      </c>
      <c r="C49" s="5"/>
    </row>
    <row r="50" spans="1:4" x14ac:dyDescent="0.15">
      <c r="A50" s="1" t="s">
        <v>35</v>
      </c>
      <c r="B50" s="1" t="s">
        <v>36</v>
      </c>
      <c r="C50" s="5" t="s">
        <v>37</v>
      </c>
      <c r="D50" s="1" t="s">
        <v>38</v>
      </c>
    </row>
    <row r="51" spans="1:4" x14ac:dyDescent="0.15">
      <c r="A51" s="1">
        <v>1</v>
      </c>
      <c r="B51" s="1">
        <v>1</v>
      </c>
      <c r="C51" s="1" t="s">
        <v>39</v>
      </c>
      <c r="D51" s="9" t="s">
        <v>40</v>
      </c>
    </row>
    <row r="52" spans="1:4" x14ac:dyDescent="0.15">
      <c r="A52" s="1">
        <v>1</v>
      </c>
      <c r="B52" s="1">
        <v>2</v>
      </c>
      <c r="C52" s="1" t="s">
        <v>41</v>
      </c>
      <c r="D52" s="10" t="s">
        <v>42</v>
      </c>
    </row>
    <row r="53" spans="1:4" x14ac:dyDescent="0.15">
      <c r="A53" s="1">
        <v>1</v>
      </c>
      <c r="B53" s="1">
        <v>3</v>
      </c>
      <c r="C53" s="1" t="s">
        <v>43</v>
      </c>
      <c r="D53" s="10" t="s">
        <v>44</v>
      </c>
    </row>
    <row r="54" spans="1:4" x14ac:dyDescent="0.15">
      <c r="A54" s="1">
        <v>1</v>
      </c>
      <c r="B54" s="1">
        <v>4</v>
      </c>
      <c r="C54" s="1" t="s">
        <v>45</v>
      </c>
      <c r="D54" s="10" t="s">
        <v>46</v>
      </c>
    </row>
    <row r="55" spans="1:4" x14ac:dyDescent="0.15">
      <c r="A55" s="1">
        <v>1</v>
      </c>
      <c r="B55" s="1">
        <v>5</v>
      </c>
      <c r="C55" s="1" t="s">
        <v>47</v>
      </c>
      <c r="D55" s="10" t="s">
        <v>48</v>
      </c>
    </row>
    <row r="56" spans="1:4" x14ac:dyDescent="0.15">
      <c r="A56" s="1">
        <v>1</v>
      </c>
      <c r="B56" s="1">
        <v>6</v>
      </c>
      <c r="C56" s="1" t="s">
        <v>49</v>
      </c>
      <c r="D56" s="10" t="s">
        <v>50</v>
      </c>
    </row>
    <row r="57" spans="1:4" x14ac:dyDescent="0.15">
      <c r="A57" s="1">
        <v>1</v>
      </c>
      <c r="B57" s="1">
        <v>7</v>
      </c>
      <c r="C57" s="1" t="s">
        <v>51</v>
      </c>
      <c r="D57" s="11" t="str">
        <f ca="1">TEXT(TODAY(),"YYYY.MM.DD")</f>
        <v>2025.07.09</v>
      </c>
    </row>
    <row r="58" spans="1:4" x14ac:dyDescent="0.15">
      <c r="A58" s="1">
        <v>1</v>
      </c>
      <c r="B58" s="1">
        <v>6</v>
      </c>
      <c r="C58" s="1" t="s">
        <v>49</v>
      </c>
      <c r="D58" s="10" t="s">
        <v>50</v>
      </c>
    </row>
    <row r="59" spans="1:4" x14ac:dyDescent="0.15">
      <c r="A59" s="1">
        <v>1</v>
      </c>
      <c r="B59" s="1">
        <v>7</v>
      </c>
      <c r="C59" s="1" t="s">
        <v>51</v>
      </c>
      <c r="D59" s="11" t="str">
        <f ca="1">TEXT(TODAY(),"YYYY.MM.DD")</f>
        <v>2025.07.09</v>
      </c>
    </row>
    <row r="61" spans="1:4" x14ac:dyDescent="0.15">
      <c r="A61" s="1">
        <v>2</v>
      </c>
      <c r="B61" s="1">
        <v>1</v>
      </c>
      <c r="C61" s="1" t="s">
        <v>39</v>
      </c>
      <c r="D61" s="10" t="s">
        <v>52</v>
      </c>
    </row>
    <row r="62" spans="1:4" x14ac:dyDescent="0.15">
      <c r="A62" s="1">
        <v>2</v>
      </c>
      <c r="B62" s="1">
        <v>2</v>
      </c>
      <c r="C62" s="1" t="s">
        <v>41</v>
      </c>
      <c r="D62" s="10" t="s">
        <v>52</v>
      </c>
    </row>
    <row r="63" spans="1:4" x14ac:dyDescent="0.15">
      <c r="A63" s="1">
        <v>2</v>
      </c>
      <c r="B63" s="1">
        <v>3</v>
      </c>
      <c r="C63" s="1" t="s">
        <v>43</v>
      </c>
      <c r="D63" s="10" t="s">
        <v>53</v>
      </c>
    </row>
    <row r="64" spans="1:4" x14ac:dyDescent="0.15">
      <c r="A64" s="1">
        <v>2</v>
      </c>
      <c r="B64" s="1">
        <v>4</v>
      </c>
      <c r="C64" s="1" t="s">
        <v>45</v>
      </c>
      <c r="D64" s="10" t="s">
        <v>53</v>
      </c>
    </row>
    <row r="66" spans="1:4" x14ac:dyDescent="0.15">
      <c r="A66" s="1">
        <v>3</v>
      </c>
      <c r="B66" s="1">
        <v>1</v>
      </c>
      <c r="C66" s="1" t="s">
        <v>39</v>
      </c>
      <c r="D66" s="10" t="s">
        <v>54</v>
      </c>
    </row>
    <row r="67" spans="1:4" x14ac:dyDescent="0.15">
      <c r="A67" s="1">
        <v>3</v>
      </c>
      <c r="B67" s="1">
        <v>2</v>
      </c>
      <c r="C67" s="1" t="s">
        <v>41</v>
      </c>
      <c r="D67" s="10" t="s">
        <v>54</v>
      </c>
    </row>
    <row r="68" spans="1:4" x14ac:dyDescent="0.15">
      <c r="A68" s="1">
        <v>3</v>
      </c>
      <c r="B68" s="1">
        <v>3</v>
      </c>
      <c r="C68" s="1" t="s">
        <v>43</v>
      </c>
      <c r="D68" s="10" t="s">
        <v>53</v>
      </c>
    </row>
    <row r="69" spans="1:4" x14ac:dyDescent="0.15">
      <c r="A69" s="1">
        <v>3</v>
      </c>
      <c r="B69" s="1">
        <v>4</v>
      </c>
      <c r="C69" s="1" t="s">
        <v>45</v>
      </c>
      <c r="D69" s="10" t="s">
        <v>53</v>
      </c>
    </row>
    <row r="70" spans="1:4" x14ac:dyDescent="0.15">
      <c r="A70" s="1">
        <v>3</v>
      </c>
      <c r="B70" s="1">
        <v>3</v>
      </c>
      <c r="C70" s="1" t="s">
        <v>43</v>
      </c>
      <c r="D70" s="10" t="s">
        <v>55</v>
      </c>
    </row>
    <row r="71" spans="1:4" x14ac:dyDescent="0.15">
      <c r="A71" s="1">
        <v>3</v>
      </c>
      <c r="B71" s="1">
        <v>4</v>
      </c>
      <c r="C71" s="1" t="s">
        <v>45</v>
      </c>
      <c r="D71" s="10" t="s">
        <v>55</v>
      </c>
    </row>
    <row r="73" spans="1:4" x14ac:dyDescent="0.15">
      <c r="A73" s="1">
        <v>4</v>
      </c>
      <c r="B73" s="1">
        <v>1</v>
      </c>
      <c r="C73" s="1" t="s">
        <v>39</v>
      </c>
      <c r="D73" s="10" t="s">
        <v>56</v>
      </c>
    </row>
    <row r="74" spans="1:4" x14ac:dyDescent="0.15">
      <c r="A74" s="1">
        <v>4</v>
      </c>
      <c r="B74" s="1">
        <v>2</v>
      </c>
      <c r="C74" s="1" t="s">
        <v>41</v>
      </c>
      <c r="D74" s="10" t="s">
        <v>56</v>
      </c>
    </row>
    <row r="75" spans="1:4" x14ac:dyDescent="0.15">
      <c r="A75" s="1">
        <v>4</v>
      </c>
      <c r="B75" s="1">
        <v>3</v>
      </c>
      <c r="C75" s="1" t="s">
        <v>43</v>
      </c>
      <c r="D75" s="10" t="s">
        <v>53</v>
      </c>
    </row>
    <row r="76" spans="1:4" x14ac:dyDescent="0.15">
      <c r="A76" s="1">
        <v>4</v>
      </c>
      <c r="B76" s="1">
        <v>4</v>
      </c>
      <c r="C76" s="1" t="s">
        <v>45</v>
      </c>
      <c r="D76" s="10" t="s">
        <v>53</v>
      </c>
    </row>
    <row r="78" spans="1:4" x14ac:dyDescent="0.15">
      <c r="A78" s="1">
        <v>5</v>
      </c>
      <c r="B78" s="1">
        <v>1</v>
      </c>
      <c r="C78" s="1" t="s">
        <v>39</v>
      </c>
      <c r="D78" s="10" t="s">
        <v>57</v>
      </c>
    </row>
    <row r="79" spans="1:4" x14ac:dyDescent="0.15">
      <c r="A79" s="1">
        <v>5</v>
      </c>
      <c r="B79" s="1">
        <v>2</v>
      </c>
      <c r="C79" s="1" t="s">
        <v>41</v>
      </c>
      <c r="D79" s="10" t="s">
        <v>57</v>
      </c>
    </row>
    <row r="80" spans="1:4" x14ac:dyDescent="0.15">
      <c r="A80" s="1">
        <v>5</v>
      </c>
      <c r="B80" s="1">
        <v>3</v>
      </c>
      <c r="C80" s="1" t="s">
        <v>43</v>
      </c>
      <c r="D80" s="10" t="s">
        <v>58</v>
      </c>
    </row>
    <row r="81" spans="1:4" x14ac:dyDescent="0.15">
      <c r="A81" s="1">
        <v>5</v>
      </c>
      <c r="B81" s="1">
        <v>4</v>
      </c>
      <c r="C81" s="1" t="s">
        <v>45</v>
      </c>
      <c r="D81" s="10" t="s">
        <v>58</v>
      </c>
    </row>
    <row r="82" spans="1:4" x14ac:dyDescent="0.15">
      <c r="A82" s="1">
        <v>5</v>
      </c>
      <c r="B82" s="1">
        <v>5</v>
      </c>
      <c r="C82" s="1" t="s">
        <v>47</v>
      </c>
      <c r="D82" s="10" t="s">
        <v>59</v>
      </c>
    </row>
    <row r="83" spans="1:4" x14ac:dyDescent="0.15">
      <c r="A83" s="1">
        <v>5</v>
      </c>
      <c r="B83" s="1">
        <v>5</v>
      </c>
      <c r="C83" s="1" t="s">
        <v>47</v>
      </c>
      <c r="D83" s="10" t="s">
        <v>60</v>
      </c>
    </row>
    <row r="84" spans="1:4" x14ac:dyDescent="0.15">
      <c r="A84" s="1">
        <v>5</v>
      </c>
      <c r="B84" s="1">
        <v>5</v>
      </c>
      <c r="C84" s="1" t="s">
        <v>47</v>
      </c>
      <c r="D84" s="10" t="s">
        <v>61</v>
      </c>
    </row>
    <row r="85" spans="1:4" x14ac:dyDescent="0.15">
      <c r="A85" s="1">
        <v>5</v>
      </c>
      <c r="B85" s="1">
        <v>5</v>
      </c>
      <c r="C85" s="1" t="s">
        <v>47</v>
      </c>
      <c r="D85" s="10" t="s">
        <v>62</v>
      </c>
    </row>
    <row r="86" spans="1:4" x14ac:dyDescent="0.15">
      <c r="A86" s="1">
        <v>5</v>
      </c>
      <c r="B86" s="1">
        <v>5</v>
      </c>
      <c r="C86" s="1" t="s">
        <v>47</v>
      </c>
      <c r="D86" s="10" t="s">
        <v>63</v>
      </c>
    </row>
    <row r="87" spans="1:4" x14ac:dyDescent="0.15">
      <c r="A87" s="1">
        <v>5</v>
      </c>
      <c r="B87" s="1">
        <v>5</v>
      </c>
      <c r="C87" s="1" t="s">
        <v>47</v>
      </c>
      <c r="D87" s="10" t="s">
        <v>64</v>
      </c>
    </row>
    <row r="88" spans="1:4" x14ac:dyDescent="0.15">
      <c r="A88" s="1">
        <v>5</v>
      </c>
      <c r="B88" s="1">
        <v>5</v>
      </c>
      <c r="C88" s="1" t="s">
        <v>47</v>
      </c>
      <c r="D88" s="10" t="s">
        <v>65</v>
      </c>
    </row>
  </sheetData>
  <phoneticPr fontId="4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DA7E7-36DE-431E-B89E-D480F47B6E01}">
  <sheetPr codeName="Sheet2"/>
  <dimension ref="A1:L9"/>
  <sheetViews>
    <sheetView tabSelected="1" topLeftCell="C1" workbookViewId="0">
      <selection sqref="A1:L14"/>
    </sheetView>
  </sheetViews>
  <sheetFormatPr defaultRowHeight="13.5" x14ac:dyDescent="0.15"/>
  <cols>
    <col min="1" max="3" width="9" style="1"/>
    <col min="4" max="4" width="9" style="13"/>
    <col min="5" max="5" width="9" style="1"/>
    <col min="6" max="6" width="11.125" style="1" bestFit="1" customWidth="1"/>
    <col min="7" max="7" width="24.5" style="1" bestFit="1" customWidth="1"/>
    <col min="8" max="8" width="13.125" style="12" customWidth="1"/>
    <col min="9" max="9" width="9" style="1"/>
    <col min="10" max="10" width="13" style="1" bestFit="1" customWidth="1"/>
    <col min="11" max="11" width="9" style="1"/>
    <col min="12" max="12" width="26.25" style="12" bestFit="1" customWidth="1"/>
    <col min="13" max="16384" width="9" style="1"/>
  </cols>
  <sheetData>
    <row r="1" spans="1:12" x14ac:dyDescent="0.15">
      <c r="A1" s="15" t="s">
        <v>95</v>
      </c>
      <c r="B1" s="1" t="s">
        <v>29</v>
      </c>
      <c r="C1" s="1" t="s">
        <v>32</v>
      </c>
      <c r="E1" s="1" t="s">
        <v>14</v>
      </c>
      <c r="F1" s="1" t="s">
        <v>21</v>
      </c>
      <c r="G1" s="1" t="s">
        <v>24</v>
      </c>
      <c r="H1" s="12" t="s">
        <v>94</v>
      </c>
      <c r="J1" s="1" t="s">
        <v>93</v>
      </c>
      <c r="K1" s="1" t="s">
        <v>92</v>
      </c>
      <c r="L1" s="14" t="s">
        <v>37</v>
      </c>
    </row>
    <row r="2" spans="1:12" x14ac:dyDescent="0.15">
      <c r="B2" s="1" t="s">
        <v>91</v>
      </c>
      <c r="C2" s="1" t="s">
        <v>90</v>
      </c>
      <c r="G2" s="1" t="s">
        <v>89</v>
      </c>
      <c r="H2" s="12" t="s">
        <v>88</v>
      </c>
      <c r="I2" s="1" t="s">
        <v>66</v>
      </c>
      <c r="K2" s="1">
        <v>1</v>
      </c>
      <c r="L2" s="12" t="s">
        <v>39</v>
      </c>
    </row>
    <row r="3" spans="1:12" x14ac:dyDescent="0.15">
      <c r="B3" s="1" t="s">
        <v>87</v>
      </c>
      <c r="C3" s="1" t="s">
        <v>86</v>
      </c>
      <c r="G3" s="1" t="s">
        <v>85</v>
      </c>
      <c r="H3" s="12" t="s">
        <v>84</v>
      </c>
      <c r="I3" s="1" t="s">
        <v>66</v>
      </c>
      <c r="K3" s="1">
        <v>2</v>
      </c>
      <c r="L3" s="12" t="s">
        <v>41</v>
      </c>
    </row>
    <row r="4" spans="1:12" x14ac:dyDescent="0.15">
      <c r="B4" s="1" t="s">
        <v>77</v>
      </c>
      <c r="C4" s="1" t="s">
        <v>83</v>
      </c>
      <c r="G4" s="1" t="s">
        <v>82</v>
      </c>
      <c r="H4" s="12" t="s">
        <v>81</v>
      </c>
      <c r="I4" s="1" t="s">
        <v>66</v>
      </c>
      <c r="K4" s="1">
        <v>3</v>
      </c>
      <c r="L4" s="12" t="s">
        <v>43</v>
      </c>
    </row>
    <row r="5" spans="1:12" x14ac:dyDescent="0.15">
      <c r="B5" s="1" t="s">
        <v>71</v>
      </c>
      <c r="C5" s="1" t="s">
        <v>80</v>
      </c>
      <c r="G5" s="1" t="s">
        <v>79</v>
      </c>
      <c r="H5" s="12" t="s">
        <v>78</v>
      </c>
      <c r="I5" s="1" t="s">
        <v>66</v>
      </c>
      <c r="K5" s="1">
        <v>4</v>
      </c>
      <c r="L5" s="12" t="s">
        <v>45</v>
      </c>
    </row>
    <row r="6" spans="1:12" x14ac:dyDescent="0.15">
      <c r="C6" s="1" t="s">
        <v>77</v>
      </c>
      <c r="G6" s="1" t="s">
        <v>76</v>
      </c>
      <c r="H6" s="12" t="s">
        <v>75</v>
      </c>
      <c r="I6" s="1" t="s">
        <v>66</v>
      </c>
      <c r="K6" s="1">
        <v>5</v>
      </c>
      <c r="L6" s="12" t="s">
        <v>47</v>
      </c>
    </row>
    <row r="7" spans="1:12" x14ac:dyDescent="0.15">
      <c r="C7" s="1" t="s">
        <v>74</v>
      </c>
      <c r="G7" s="1" t="s">
        <v>73</v>
      </c>
      <c r="H7" s="12" t="s">
        <v>72</v>
      </c>
      <c r="I7" s="1" t="s">
        <v>66</v>
      </c>
      <c r="K7" s="1">
        <v>6</v>
      </c>
      <c r="L7" s="1" t="s">
        <v>49</v>
      </c>
    </row>
    <row r="8" spans="1:12" x14ac:dyDescent="0.15">
      <c r="C8" s="1" t="s">
        <v>71</v>
      </c>
      <c r="G8" s="1" t="s">
        <v>70</v>
      </c>
      <c r="H8" s="12" t="s">
        <v>69</v>
      </c>
      <c r="I8" s="1" t="s">
        <v>66</v>
      </c>
      <c r="K8" s="1">
        <v>7</v>
      </c>
      <c r="L8" s="1" t="s">
        <v>51</v>
      </c>
    </row>
    <row r="9" spans="1:12" x14ac:dyDescent="0.15">
      <c r="C9" s="1" t="s">
        <v>68</v>
      </c>
      <c r="F9" s="1" t="s">
        <v>22</v>
      </c>
      <c r="G9" s="1" t="s">
        <v>25</v>
      </c>
      <c r="H9" s="12" t="s">
        <v>67</v>
      </c>
      <c r="I9" s="1" t="s">
        <v>66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0AA38-3D3F-4852-93A4-7F7D46E24AA3}">
  <sheetPr codeName="Sheet3"/>
  <dimension ref="A1"/>
  <sheetViews>
    <sheetView workbookViewId="0"/>
  </sheetViews>
  <sheetFormatPr defaultRowHeight="13.5" x14ac:dyDescent="0.15"/>
  <cols>
    <col min="1" max="16384" width="9" style="1"/>
  </cols>
  <sheetData/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1164F-7CAB-4B38-A112-47258EE0E150}">
  <sheetPr codeName="Sheet6"/>
  <dimension ref="A1:B66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1" width="20.625" style="1" customWidth="1"/>
    <col min="2" max="2" width="100.625" style="1" customWidth="1"/>
    <col min="3" max="16384" width="9" style="1"/>
  </cols>
  <sheetData>
    <row r="1" spans="1:2" x14ac:dyDescent="0.15">
      <c r="A1" s="1" t="s">
        <v>151</v>
      </c>
      <c r="B1" s="1" t="s">
        <v>150</v>
      </c>
    </row>
    <row r="2" spans="1:2" x14ac:dyDescent="0.15">
      <c r="A2" s="16">
        <v>45845.090995370374</v>
      </c>
      <c r="B2" s="1" t="s">
        <v>149</v>
      </c>
    </row>
    <row r="3" spans="1:2" x14ac:dyDescent="0.15">
      <c r="A3" s="16">
        <v>45845.090995370374</v>
      </c>
      <c r="B3" s="1" t="s">
        <v>148</v>
      </c>
    </row>
    <row r="4" spans="1:2" x14ac:dyDescent="0.15">
      <c r="A4" s="16">
        <v>45845.090995370374</v>
      </c>
      <c r="B4" s="1" t="s">
        <v>147</v>
      </c>
    </row>
    <row r="5" spans="1:2" x14ac:dyDescent="0.15">
      <c r="A5" s="16">
        <v>45845.090995370374</v>
      </c>
      <c r="B5" s="1" t="s">
        <v>146</v>
      </c>
    </row>
    <row r="6" spans="1:2" x14ac:dyDescent="0.15">
      <c r="A6" s="16">
        <v>45845.090995370374</v>
      </c>
      <c r="B6" s="1" t="s">
        <v>145</v>
      </c>
    </row>
    <row r="7" spans="1:2" x14ac:dyDescent="0.15">
      <c r="A7" s="16">
        <v>45845.090995370374</v>
      </c>
      <c r="B7" s="1" t="s">
        <v>127</v>
      </c>
    </row>
    <row r="8" spans="1:2" x14ac:dyDescent="0.15">
      <c r="A8" s="16">
        <v>45845.090995370374</v>
      </c>
      <c r="B8" s="1" t="s">
        <v>144</v>
      </c>
    </row>
    <row r="9" spans="1:2" x14ac:dyDescent="0.15">
      <c r="A9" s="16">
        <v>45845.090995370374</v>
      </c>
      <c r="B9" s="1" t="s">
        <v>134</v>
      </c>
    </row>
    <row r="10" spans="1:2" x14ac:dyDescent="0.15">
      <c r="A10" s="16">
        <v>45845.090995370374</v>
      </c>
      <c r="B10" s="1" t="s">
        <v>143</v>
      </c>
    </row>
    <row r="11" spans="1:2" x14ac:dyDescent="0.15">
      <c r="A11" s="16">
        <v>45845.090995370374</v>
      </c>
      <c r="B11" s="1" t="s">
        <v>124</v>
      </c>
    </row>
    <row r="12" spans="1:2" x14ac:dyDescent="0.15">
      <c r="A12" s="16">
        <v>45845.091006944444</v>
      </c>
      <c r="B12" s="1" t="s">
        <v>142</v>
      </c>
    </row>
    <row r="13" spans="1:2" x14ac:dyDescent="0.15">
      <c r="A13" s="16">
        <v>45845.091006944444</v>
      </c>
      <c r="B13" s="1" t="s">
        <v>141</v>
      </c>
    </row>
    <row r="14" spans="1:2" x14ac:dyDescent="0.15">
      <c r="A14" s="16">
        <v>45845.091006944444</v>
      </c>
      <c r="B14" s="1" t="s">
        <v>140</v>
      </c>
    </row>
    <row r="15" spans="1:2" x14ac:dyDescent="0.15">
      <c r="A15" s="16">
        <v>45845.091006944444</v>
      </c>
      <c r="B15" s="1" t="s">
        <v>139</v>
      </c>
    </row>
    <row r="16" spans="1:2" x14ac:dyDescent="0.15">
      <c r="A16" s="16">
        <v>45845.091006944444</v>
      </c>
      <c r="B16" s="1" t="s">
        <v>138</v>
      </c>
    </row>
    <row r="17" spans="1:2" x14ac:dyDescent="0.15">
      <c r="A17" s="16">
        <v>45845.091006944444</v>
      </c>
      <c r="B17" s="1" t="s">
        <v>137</v>
      </c>
    </row>
    <row r="18" spans="1:2" x14ac:dyDescent="0.15">
      <c r="A18" s="16">
        <v>45845.09101851852</v>
      </c>
      <c r="B18" s="1" t="s">
        <v>136</v>
      </c>
    </row>
    <row r="19" spans="1:2" x14ac:dyDescent="0.15">
      <c r="A19" s="16">
        <v>45845.09101851852</v>
      </c>
      <c r="B19" s="1" t="s">
        <v>135</v>
      </c>
    </row>
    <row r="20" spans="1:2" x14ac:dyDescent="0.15">
      <c r="A20" s="16">
        <v>45845.09101851852</v>
      </c>
      <c r="B20" s="1" t="s">
        <v>134</v>
      </c>
    </row>
    <row r="21" spans="1:2" x14ac:dyDescent="0.15">
      <c r="A21" s="16">
        <v>45845.09101851852</v>
      </c>
      <c r="B21" s="1" t="s">
        <v>133</v>
      </c>
    </row>
    <row r="22" spans="1:2" x14ac:dyDescent="0.15">
      <c r="A22" s="16">
        <v>45845.09101851852</v>
      </c>
      <c r="B22" s="1" t="s">
        <v>132</v>
      </c>
    </row>
    <row r="23" spans="1:2" x14ac:dyDescent="0.15">
      <c r="A23" s="16">
        <v>45845.09101851852</v>
      </c>
      <c r="B23" s="1" t="s">
        <v>131</v>
      </c>
    </row>
    <row r="24" spans="1:2" x14ac:dyDescent="0.15">
      <c r="A24" s="16">
        <v>45845.09101851852</v>
      </c>
      <c r="B24" s="1" t="s">
        <v>130</v>
      </c>
    </row>
    <row r="25" spans="1:2" x14ac:dyDescent="0.15">
      <c r="A25" s="16">
        <v>45845.09101851852</v>
      </c>
      <c r="B25" s="1" t="s">
        <v>126</v>
      </c>
    </row>
    <row r="26" spans="1:2" x14ac:dyDescent="0.15">
      <c r="A26" s="16">
        <v>45845.09101851852</v>
      </c>
      <c r="B26" s="1" t="s">
        <v>129</v>
      </c>
    </row>
    <row r="27" spans="1:2" x14ac:dyDescent="0.15">
      <c r="A27" s="16">
        <v>45845.09101851852</v>
      </c>
      <c r="B27" s="1" t="s">
        <v>128</v>
      </c>
    </row>
    <row r="28" spans="1:2" x14ac:dyDescent="0.15">
      <c r="A28" s="16">
        <v>45845.09101851852</v>
      </c>
      <c r="B28" s="1" t="s">
        <v>127</v>
      </c>
    </row>
    <row r="29" spans="1:2" x14ac:dyDescent="0.15">
      <c r="A29" s="16">
        <v>45845.09101851852</v>
      </c>
      <c r="B29" s="1" t="s">
        <v>126</v>
      </c>
    </row>
    <row r="30" spans="1:2" x14ac:dyDescent="0.15">
      <c r="A30" s="16">
        <v>45845.09101851852</v>
      </c>
      <c r="B30" s="1" t="s">
        <v>125</v>
      </c>
    </row>
    <row r="31" spans="1:2" x14ac:dyDescent="0.15">
      <c r="A31" s="16">
        <v>45845.09101851852</v>
      </c>
      <c r="B31" s="1" t="s">
        <v>124</v>
      </c>
    </row>
    <row r="32" spans="1:2" x14ac:dyDescent="0.15">
      <c r="A32" s="16">
        <v>45845.091041666667</v>
      </c>
      <c r="B32" s="1" t="s">
        <v>123</v>
      </c>
    </row>
    <row r="33" spans="1:2" x14ac:dyDescent="0.15">
      <c r="A33" s="16">
        <v>45845.091053240743</v>
      </c>
      <c r="B33" s="1" t="s">
        <v>122</v>
      </c>
    </row>
    <row r="34" spans="1:2" x14ac:dyDescent="0.15">
      <c r="A34" s="16">
        <v>45845.091053240743</v>
      </c>
      <c r="B34" s="1" t="s">
        <v>121</v>
      </c>
    </row>
    <row r="35" spans="1:2" x14ac:dyDescent="0.15">
      <c r="A35" s="16">
        <v>45845.091053240743</v>
      </c>
      <c r="B35" s="1" t="s">
        <v>120</v>
      </c>
    </row>
    <row r="36" spans="1:2" x14ac:dyDescent="0.15">
      <c r="A36" s="16">
        <v>45845.091053240743</v>
      </c>
      <c r="B36" s="1" t="s">
        <v>119</v>
      </c>
    </row>
    <row r="37" spans="1:2" x14ac:dyDescent="0.15">
      <c r="A37" s="16">
        <v>45845.091053240743</v>
      </c>
      <c r="B37" s="1" t="s">
        <v>118</v>
      </c>
    </row>
    <row r="38" spans="1:2" x14ac:dyDescent="0.15">
      <c r="A38" s="16">
        <v>45845.091053240743</v>
      </c>
      <c r="B38" s="1" t="s">
        <v>117</v>
      </c>
    </row>
    <row r="39" spans="1:2" x14ac:dyDescent="0.15">
      <c r="A39" s="16">
        <v>45845.091053240743</v>
      </c>
      <c r="B39" s="1" t="s">
        <v>116</v>
      </c>
    </row>
    <row r="40" spans="1:2" x14ac:dyDescent="0.15">
      <c r="A40" s="16">
        <v>45845.091053240743</v>
      </c>
      <c r="B40" s="1" t="s">
        <v>115</v>
      </c>
    </row>
    <row r="41" spans="1:2" x14ac:dyDescent="0.15">
      <c r="A41" s="16">
        <v>45845.091053240743</v>
      </c>
      <c r="B41" s="1" t="s">
        <v>114</v>
      </c>
    </row>
    <row r="42" spans="1:2" x14ac:dyDescent="0.15">
      <c r="A42" s="16">
        <v>45845.091053240743</v>
      </c>
      <c r="B42" s="1" t="s">
        <v>113</v>
      </c>
    </row>
    <row r="43" spans="1:2" x14ac:dyDescent="0.15">
      <c r="A43" s="16">
        <v>45845.091053240743</v>
      </c>
      <c r="B43" s="1" t="s">
        <v>103</v>
      </c>
    </row>
    <row r="44" spans="1:2" x14ac:dyDescent="0.15">
      <c r="A44" s="16">
        <v>45845.091053240743</v>
      </c>
      <c r="B44" s="1" t="s">
        <v>112</v>
      </c>
    </row>
    <row r="45" spans="1:2" x14ac:dyDescent="0.15">
      <c r="A45" s="16">
        <v>45845.091053240743</v>
      </c>
      <c r="B45" s="1" t="s">
        <v>111</v>
      </c>
    </row>
    <row r="46" spans="1:2" x14ac:dyDescent="0.15">
      <c r="A46" s="16">
        <v>45845.091053240743</v>
      </c>
      <c r="B46" s="1" t="s">
        <v>110</v>
      </c>
    </row>
    <row r="47" spans="1:2" x14ac:dyDescent="0.15">
      <c r="A47" s="16">
        <v>45845.091053240743</v>
      </c>
      <c r="B47" s="1" t="s">
        <v>109</v>
      </c>
    </row>
    <row r="48" spans="1:2" x14ac:dyDescent="0.15">
      <c r="A48" s="16">
        <v>45845.091053240743</v>
      </c>
      <c r="B48" s="1" t="s">
        <v>108</v>
      </c>
    </row>
    <row r="49" spans="1:2" x14ac:dyDescent="0.15">
      <c r="A49" s="16">
        <v>45845.091053240743</v>
      </c>
      <c r="B49" s="1" t="s">
        <v>105</v>
      </c>
    </row>
    <row r="50" spans="1:2" x14ac:dyDescent="0.15">
      <c r="A50" s="16">
        <v>45845.091053240743</v>
      </c>
      <c r="B50" s="1" t="s">
        <v>104</v>
      </c>
    </row>
    <row r="51" spans="1:2" x14ac:dyDescent="0.15">
      <c r="A51" s="16">
        <v>45845.091053240743</v>
      </c>
      <c r="B51" s="1" t="s">
        <v>103</v>
      </c>
    </row>
    <row r="52" spans="1:2" x14ac:dyDescent="0.15">
      <c r="A52" s="16">
        <v>45845.091053240743</v>
      </c>
      <c r="B52" s="1" t="s">
        <v>102</v>
      </c>
    </row>
    <row r="53" spans="1:2" x14ac:dyDescent="0.15">
      <c r="A53" s="16">
        <v>45845.091053240743</v>
      </c>
      <c r="B53" s="1" t="s">
        <v>101</v>
      </c>
    </row>
    <row r="54" spans="1:2" x14ac:dyDescent="0.15">
      <c r="A54" s="16">
        <v>45845.091053240743</v>
      </c>
      <c r="B54" s="1" t="s">
        <v>100</v>
      </c>
    </row>
    <row r="55" spans="1:2" x14ac:dyDescent="0.15">
      <c r="A55" s="16">
        <v>45845.091053240743</v>
      </c>
      <c r="B55" s="1" t="s">
        <v>107</v>
      </c>
    </row>
    <row r="56" spans="1:2" x14ac:dyDescent="0.15">
      <c r="A56" s="16">
        <v>45845.091053240743</v>
      </c>
      <c r="B56" s="1" t="s">
        <v>106</v>
      </c>
    </row>
    <row r="57" spans="1:2" x14ac:dyDescent="0.15">
      <c r="A57" s="16">
        <v>45845.091053240743</v>
      </c>
      <c r="B57" s="1" t="s">
        <v>105</v>
      </c>
    </row>
    <row r="58" spans="1:2" x14ac:dyDescent="0.15">
      <c r="A58" s="16">
        <v>45845.091053240743</v>
      </c>
      <c r="B58" s="1" t="s">
        <v>104</v>
      </c>
    </row>
    <row r="59" spans="1:2" x14ac:dyDescent="0.15">
      <c r="A59" s="16">
        <v>45845.091053240743</v>
      </c>
      <c r="B59" s="1" t="s">
        <v>103</v>
      </c>
    </row>
    <row r="60" spans="1:2" x14ac:dyDescent="0.15">
      <c r="A60" s="16">
        <v>45845.091053240743</v>
      </c>
      <c r="B60" s="1" t="s">
        <v>102</v>
      </c>
    </row>
    <row r="61" spans="1:2" x14ac:dyDescent="0.15">
      <c r="A61" s="16">
        <v>45845.091053240743</v>
      </c>
      <c r="B61" s="1" t="s">
        <v>101</v>
      </c>
    </row>
    <row r="62" spans="1:2" x14ac:dyDescent="0.15">
      <c r="A62" s="16">
        <v>45845.091053240743</v>
      </c>
      <c r="B62" s="1" t="s">
        <v>100</v>
      </c>
    </row>
    <row r="63" spans="1:2" x14ac:dyDescent="0.15">
      <c r="A63" s="16">
        <v>45845.091053240743</v>
      </c>
      <c r="B63" s="1" t="s">
        <v>99</v>
      </c>
    </row>
    <row r="64" spans="1:2" x14ac:dyDescent="0.15">
      <c r="A64" s="16">
        <v>45845.091053240743</v>
      </c>
      <c r="B64" s="1" t="s">
        <v>98</v>
      </c>
    </row>
    <row r="65" spans="1:2" x14ac:dyDescent="0.15">
      <c r="A65" s="16">
        <v>45845.091053240743</v>
      </c>
      <c r="B65" s="1" t="s">
        <v>97</v>
      </c>
    </row>
    <row r="66" spans="1:2" x14ac:dyDescent="0.15">
      <c r="A66" s="16">
        <v>45845.09107638889</v>
      </c>
      <c r="B66" s="1" t="s">
        <v>96</v>
      </c>
    </row>
  </sheetData>
  <phoneticPr fontId="4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CB7D6-36C7-4067-A180-AC572B14EC60}">
  <sheetPr codeName="Sheet5"/>
  <dimension ref="A1:F2"/>
  <sheetViews>
    <sheetView workbookViewId="0">
      <pane ySplit="1" topLeftCell="A2" activePane="bottomLeft" state="frozen"/>
      <selection pane="bottomLeft" activeCell="E27" sqref="E27"/>
    </sheetView>
  </sheetViews>
  <sheetFormatPr defaultRowHeight="13.5" x14ac:dyDescent="0.15"/>
  <cols>
    <col min="1" max="2" width="14.75" style="1" bestFit="1" customWidth="1"/>
    <col min="3" max="4" width="9" style="1"/>
    <col min="5" max="5" width="21.25" style="1" bestFit="1" customWidth="1"/>
    <col min="6" max="16384" width="9" style="1"/>
  </cols>
  <sheetData>
    <row r="1" spans="1:6" x14ac:dyDescent="0.15">
      <c r="A1" s="1" t="s">
        <v>151</v>
      </c>
      <c r="B1" s="1" t="s">
        <v>159</v>
      </c>
      <c r="C1" s="1" t="s">
        <v>158</v>
      </c>
      <c r="D1" s="1" t="s">
        <v>157</v>
      </c>
      <c r="E1" s="1" t="s">
        <v>156</v>
      </c>
      <c r="F1" s="1" t="s">
        <v>155</v>
      </c>
    </row>
    <row r="2" spans="1:6" s="17" customFormat="1" x14ac:dyDescent="0.15">
      <c r="A2" s="18">
        <v>45845.091053240743</v>
      </c>
      <c r="B2" s="17" t="s">
        <v>154</v>
      </c>
      <c r="C2" s="17" t="s">
        <v>153</v>
      </c>
      <c r="D2" s="17" t="s">
        <v>153</v>
      </c>
      <c r="E2" s="17" t="s">
        <v>152</v>
      </c>
    </row>
  </sheetData>
  <phoneticPr fontId="4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32ACB-DFE5-4D7A-B059-113347269920}">
  <sheetPr codeName="Sheet7"/>
  <dimension ref="A1:D6"/>
  <sheetViews>
    <sheetView workbookViewId="0">
      <pane ySplit="1" topLeftCell="A2" activePane="bottomLeft" state="frozen"/>
      <selection pane="bottomLeft" activeCell="D6" sqref="D6"/>
    </sheetView>
  </sheetViews>
  <sheetFormatPr defaultRowHeight="13.5" x14ac:dyDescent="0.15"/>
  <cols>
    <col min="1" max="1" width="14.75" style="1" bestFit="1" customWidth="1"/>
    <col min="2" max="2" width="9" style="1"/>
    <col min="3" max="3" width="12.75" style="1" bestFit="1" customWidth="1"/>
    <col min="4" max="4" width="53.5" style="1" customWidth="1"/>
    <col min="5" max="16384" width="9" style="1"/>
  </cols>
  <sheetData>
    <row r="1" spans="1:4" x14ac:dyDescent="0.15">
      <c r="A1" s="1" t="s">
        <v>151</v>
      </c>
      <c r="B1" s="1" t="s">
        <v>170</v>
      </c>
      <c r="C1" s="1" t="s">
        <v>169</v>
      </c>
      <c r="D1" s="1" t="s">
        <v>168</v>
      </c>
    </row>
    <row r="2" spans="1:4" x14ac:dyDescent="0.15">
      <c r="A2" s="16">
        <v>45845.090995370374</v>
      </c>
      <c r="B2" s="1" t="s">
        <v>162</v>
      </c>
      <c r="C2" s="1" t="s">
        <v>167</v>
      </c>
    </row>
    <row r="3" spans="1:4" x14ac:dyDescent="0.15">
      <c r="A3" s="16">
        <v>45845.09101851852</v>
      </c>
      <c r="B3" s="1" t="s">
        <v>162</v>
      </c>
      <c r="C3" s="1" t="s">
        <v>166</v>
      </c>
      <c r="D3" s="1" t="s">
        <v>165</v>
      </c>
    </row>
    <row r="4" spans="1:4" x14ac:dyDescent="0.15">
      <c r="A4" s="16">
        <v>45845.091053240743</v>
      </c>
      <c r="B4" s="1" t="s">
        <v>162</v>
      </c>
      <c r="C4" s="1" t="s">
        <v>164</v>
      </c>
      <c r="D4" s="1" t="s">
        <v>163</v>
      </c>
    </row>
    <row r="5" spans="1:4" x14ac:dyDescent="0.15">
      <c r="A5" s="16">
        <v>45845.091053240743</v>
      </c>
      <c r="B5" s="1" t="s">
        <v>162</v>
      </c>
      <c r="C5" s="1" t="s">
        <v>161</v>
      </c>
      <c r="D5" s="1" t="s">
        <v>160</v>
      </c>
    </row>
    <row r="6" spans="1:4" x14ac:dyDescent="0.15">
      <c r="A6" s="16">
        <v>45845.091053240743</v>
      </c>
      <c r="B6" s="1" t="s">
        <v>162</v>
      </c>
      <c r="C6" s="1" t="s">
        <v>161</v>
      </c>
      <c r="D6" s="1" t="s">
        <v>160</v>
      </c>
    </row>
  </sheetData>
  <phoneticPr fontId="4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2025-07-08T21:39:42Z</dcterms:created>
  <dcterms:modified xsi:type="dcterms:W3CDTF">2025-07-08T22:03:06Z</dcterms:modified>
</cp:coreProperties>
</file>